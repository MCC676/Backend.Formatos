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6851F7CA-81F7-4BB4-B82E-B972F008FE61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E28" i="2"/>
  <x:c r="C30" i="2"/>
  <x:c r="E30" i="2"/>
  <x:c r="E23" i="4"/>
  <x:c r="E25" i="4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<x:sst xmlns:x="http://schemas.openxmlformats.org/spreadsheetml/2006/main">
  <x:si>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</x:si>
  <x:si>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15 de marzo del 2026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</x:si>
  <x:si>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</x:si>
  <x:si>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</x:si>
  <x:si>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</x:si>
  <x:si>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</x:si>
  <x:si>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</x:si>
  <x:si>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</x:si>
  <x:si>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</x:si>
  <x:si>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>34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</x:si>
  <x:si>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</x:si>
  <x:si>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</x:si>
  <x:si>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</x:si>
  <x:si>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</x:si>
  <x:si>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</x:si>
  <x:si>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</x:si>
  <x:si>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</x:si>
  <x:si>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</x:si>
  <x:si>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</x:si>
  <x:si>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</x:si>
  <x:si>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</x:si>
  <x:si>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</x:si>
  <x:si>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COMERCIALIZADORA ECOGOLD E.I.R.L.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</x:si>
  <x:si>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</x:si>
  <x:si>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</x:si>
  <x:si>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</x:si>
  <x:si>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</x:si>
  <x:si>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</x:si>
  <x:si>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</x:si>
  <x:si>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</x:si>
  <x:si>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</x:si>
  <x:si>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</x:si>
  <x:si>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</x:si>
  <x:si>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</x:si>
  <x:si>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</x:si>
  <x:si>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</x:si>
  <x:si>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</x:si>
  <x:si>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</x:si>
  <x:si>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</x:si>
  <x:si>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</x:si>
  <x:si>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SCOTIABANK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</x:si>
  <x:si>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</x:si>
  <x:si>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</x:si>
  <x:si>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</x:si>
  <x:si>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</x:si>
  <x:si>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</x:si>
  <x:si>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45454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</x:si>
  <x:si>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</x:si>
  <x:si>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</x:si>
  <x:si>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</x:si>
  <x:si>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</x:si>
  <x:si>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</x:si>
  <x:si>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</x:si>
  <x:si>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</x:si>
  <x:si>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</x:si>
  <x:si>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</x:si>
  <x:si>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</x:si>
  <x:si>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</x:si>
  <x:si>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</x:si>
  <x:si>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</x:si>
  <x:si>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</x:si>
  <x:si>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</x:si>
  <x:si>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OPUS REFINERY PRIVATE LIMITED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</x:si>
  <x:si>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</x:si>
  <x:si>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</x:si>
  <x:si>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</x:si>
  <x:si>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</x:si>
  <x:si>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</x:si>
  <x:si>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</x:si>
  <x:si>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</x:si>
  <x:si>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</x:si>
  <x:si>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</x:si>
  <x:si>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</x:si>
  <x:si>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</x:si>
  <x:si>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</x:si>
  <x:si>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</x:si>
  <x:si>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</x:si>
  <x:si>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</x:si>
  <x:si>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</x:si>
  <x:si>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</x:si>
  <x:si>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</x:si>
  <x:si>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</x:si>
  <x:si>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</x:si>
  <x:si>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</x:si>
  <x:si>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</x:si>
  <x:si>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</x:si>
  <x:si>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</x:si>
  <x:si>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</x:si>
  <x:si>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</x:si>
  <x:si>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</x:si>
  <x:si>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</x:si>
  <x:si>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</x:si>
  <x:si>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</x:si>
  <x:si>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</x:si>
  <x:si>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45454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</x:si>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</x:sst>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25" zoomScale="90" zoomScaleNormal="90" workbookViewId="0">
      <x:selection activeCell="I51" sqref="I51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94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5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95</x:v>
      </x:c>
      <x:c r="B9" s="190"/>
      <x:c r="C9" s="190"/>
      <x:c r="D9" s="190"/>
      <x:c r="E9" s="190"/>
      <x:c r="F9" s="187" t="s">
        <x:v>6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95</x:v>
      </x:c>
      <x:c r="B10" s="190"/>
      <x:c r="C10" s="190"/>
      <x:c r="D10" s="190"/>
      <x:c r="E10" s="190"/>
      <x:c r="F10" s="187" t="s">
        <x:v>7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95</x:v>
      </x:c>
      <x:c r="B11" s="190"/>
      <x:c r="C11" s="190"/>
      <x:c r="D11" s="190"/>
      <x:c r="E11" s="190"/>
      <x:c r="F11" s="187" t="s">
        <x:v>8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95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96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97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10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2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95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95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95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95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96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97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11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12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13</x:v>
      </x:c>
      <x:c r="B28" s="75" t="s">
        <x:v>14</x:v>
      </x:c>
      <x:c r="C28" s="75" t="s">
        <x:v>15</x:v>
      </x:c>
      <x:c r="D28" s="75" t="s">
        <x:v>16</x:v>
      </x:c>
      <x:c r="E28" s="75" t="s">
        <x:v>17</x:v>
      </x:c>
      <x:c r="F28" s="75" t="s">
        <x:v>18</x:v>
      </x:c>
      <x:c r="G28" s="75" t="s">
        <x:v>19</x:v>
      </x:c>
      <x:c r="H28" s="75" t="s">
        <x:v>20</x:v>
      </x:c>
      <x:c r="I28" s="75" t="s">
        <x:v>17</x:v>
      </x:c>
      <x:c r="J28" s="76" t="s">
        <x:v>18</x:v>
      </x:c>
      <x:c r="K28" s="74" t="s">
        <x:v>21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ht="38.25" customHeight="1" x14ac:dyDescent="0.25">
      <x:c r="A29" s="194">
        <x:v>1</x:v>
      </x:c>
      <x:c r="B29" s="195" t="s">
        <x:v>9</x:v>
      </x:c>
      <x:c r="C29" s="196" t="s">
        <x:v>9</x:v>
      </x:c>
      <x:c r="D29" s="197">
        <x:f>B29*C29/1000</x:f>
      </x:c>
      <x:c r="E29" s="198">
        <x:f>D29*1000/31.1035</x:f>
      </x:c>
      <x:c r="F29" s="199" t="s">
        <x:v>9</x:v>
      </x:c>
      <x:c r="G29" s="196" t="s">
        <x:v>9</x:v>
      </x:c>
      <x:c r="H29" s="197">
        <x:f>B29*G29/1000</x:f>
      </x:c>
      <x:c r="I29" s="198">
        <x:f>H29*1000/31.1035</x:f>
      </x:c>
      <x:c r="J29" s="200" t="s">
        <x:v>9</x:v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23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24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25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26</x:v>
      </x:c>
      <x:c r="B36" s="213"/>
      <x:c r="C36" s="218" t="s">
        <x:v>9</x:v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27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28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29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26</x:v>
      </x:c>
      <x:c r="B41" s="213"/>
      <x:c r="C41" s="218" t="s">
        <x:v>9</x:v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30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31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32</x:v>
      </x:c>
      <x:c r="B46" s="183" t="s">
        <x:v>33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34</x:v>
      </x:c>
      <x:c r="B47" s="183" t="s">
        <x:v>35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36</x:v>
      </x:c>
      <x:c r="B48" s="183" t="s">
        <x:v>37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38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39</x:v>
      </x:c>
      <x:c r="B51" s="226" t="s">
        <x:v>22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41</x:v>
      </x:c>
      <x:c r="B52" s="226" t="s">
        <x:v>40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43</x:v>
      </x:c>
      <x:c r="B53" s="227" t="s">
        <x:v>42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45</x:v>
      </x:c>
      <x:c r="B54" s="189" t="s">
        <x:v>44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47</x:v>
      </x:c>
      <x:c r="B55" s="183" t="s">
        <x:v>48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49</x:v>
      </x:c>
      <x:c r="B5" s="229"/>
      <x:c r="C5" s="230" t="s">
        <x:v>94</x:v>
      </x:c>
      <x:c r="D5" s="231" t="s">
        <x:v>50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51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5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95</x:v>
      </x:c>
      <x:c r="B12" s="239"/>
      <x:c r="C12" s="239"/>
      <x:c r="D12" s="239"/>
      <x:c r="E12" s="187" t="s">
        <x:v>6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95</x:v>
      </x:c>
      <x:c r="B13" s="239"/>
      <x:c r="C13" s="239"/>
      <x:c r="D13" s="240"/>
      <x:c r="E13" s="187" t="s">
        <x:v>7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95</x:v>
      </x:c>
      <x:c r="B14" s="239"/>
      <x:c r="C14" s="239"/>
      <x:c r="D14" s="240"/>
      <x:c r="E14" s="187" t="s">
        <x:v>52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95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96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10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2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95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95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95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95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96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97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53</x:v>
      </x:c>
      <x:c r="B27" s="243" t="s">
        <x:v>54</x:v>
      </x:c>
      <x:c r="C27" s="243" t="s">
        <x:v>14</x:v>
      </x:c>
      <x:c r="D27" s="243" t="s">
        <x:v>55</x:v>
      </x:c>
      <x:c r="E27" s="243" t="s">
        <x:v>56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57</x:v>
      </x:c>
      <x:c r="B28" s="245" t="s">
        <x:v>94</x:v>
      </x:c>
      <x:c r="C28" s="246" t="s">
        <x:v>9</x:v>
      </x:c>
      <x:c r="D28" s="247" t="s">
        <x:v>9</x:v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23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58</x:v>
      </x:c>
      <x:c r="B7" s="255" t="s">
        <x:v>51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60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61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46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63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64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65</x:v>
      </x:c>
      <x:c r="B21" s="229"/>
      <x:c r="C21" s="264" t="s">
        <x:v>94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66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62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67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68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69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58</x:v>
      </x:c>
      <x:c r="B7" s="268" t="s">
        <x:v>51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66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62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67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68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70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71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72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73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74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75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76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77</x:v>
      </x:c>
      <x:c r="B24" s="183"/>
      <x:c r="C24" s="183"/>
      <x:c r="D24" s="183"/>
      <x:c r="E24" s="271" t="s">
        <x:v>35</x:v>
      </x:c>
      <x:c r="F24" s="176"/>
      <x:c r="G24" s="176"/>
      <x:c r="H24" s="176"/>
      <x:c r="I24" s="176"/>
    </x:row>
    <x:row r="25" spans="1:9" ht="15.75" customHeight="1" x14ac:dyDescent="0.2">
      <x:c r="A25" s="183" t="s">
        <x:v>78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79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80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80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59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95</x:v>
      </x:c>
      <x:c r="B8" s="239"/>
      <x:c r="C8" s="239"/>
      <x:c r="D8" s="239"/>
      <x:c r="E8" s="176"/>
      <x:c r="F8" s="176"/>
      <x:c r="G8" s="191" t="s">
        <x:v>5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95</x:v>
      </x:c>
      <x:c r="B9" s="239"/>
      <x:c r="C9" s="239"/>
      <x:c r="D9" s="240"/>
      <x:c r="E9" s="176"/>
      <x:c r="F9" s="176"/>
      <x:c r="G9" s="187" t="s">
        <x:v>6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95</x:v>
      </x:c>
      <x:c r="B10" s="239"/>
      <x:c r="C10" s="239"/>
      <x:c r="D10" s="240"/>
      <x:c r="E10" s="176"/>
      <x:c r="F10" s="176"/>
      <x:c r="G10" s="187" t="s">
        <x:v>7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95</x:v>
      </x:c>
      <x:c r="B11" s="239"/>
      <x:c r="C11" s="239"/>
      <x:c r="D11" s="240"/>
      <x:c r="E11" s="176"/>
      <x:c r="F11" s="176"/>
      <x:c r="G11" s="187" t="s">
        <x:v>52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96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10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2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95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95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95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95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96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97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81</x:v>
      </x:c>
      <x:c r="B24" s="176"/>
      <x:c r="C24" s="176"/>
      <x:c r="D24" s="273" t="s">
        <x:v>33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82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83</x:v>
      </x:c>
      <x:c r="B26" s="176"/>
      <x:c r="C26" s="176"/>
      <x:c r="D26" s="276" t="s">
        <x:v>35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84</x:v>
      </x:c>
      <x:c r="B27" s="176"/>
      <x:c r="C27" s="176"/>
      <x:c r="D27" s="278" t="s">
        <x:v>94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85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86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53</x:v>
      </x:c>
      <x:c r="B33" s="282" t="s">
        <x:v>87</x:v>
      </x:c>
      <x:c r="C33" s="282" t="s">
        <x:v>88</x:v>
      </x:c>
      <x:c r="D33" s="282" t="s">
        <x:v>89</x:v>
      </x:c>
      <x:c r="E33" s="282"/>
      <x:c r="F33" s="282" t="s">
        <x:v>90</x:v>
      </x:c>
      <x:c r="G33" s="282" t="s">
        <x:v>91</x:v>
      </x:c>
      <x:c r="H33" s="282" t="s">
        <x:v>92</x:v>
      </x:c>
      <x:c r="I33" s="282" t="s">
        <x:v>93</x:v>
      </x:c>
      <x:c r="J33" s="176"/>
      <x:c r="K33" s="176"/>
      <x:c r="L33" s="176"/>
    </x:row>
    <x:row r="34" spans="1:26" ht="15.75" customHeight="1" x14ac:dyDescent="0.2">
      <x:c r="A34" s="283" t="s">
        <x:v>57</x:v>
      </x:c>
      <x:c r="B34" s="284" t="s">
        <x:v>9</x:v>
      </x:c>
      <x:c r="C34" s="285" t="s">
        <x:v>9</x:v>
      </x:c>
      <x:c r="D34" s="285" t="s">
        <x:v>9</x:v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23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2025-12-06T21:26:48.0000000Z</dcterms:modified>
</coreProperties>
</file>