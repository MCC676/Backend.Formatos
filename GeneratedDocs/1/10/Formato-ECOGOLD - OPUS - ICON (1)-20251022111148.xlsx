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wnloads\"/>
    </mc:Choice>
  </mc:AlternateContent>
  <xr:revisionPtr revIDLastSave="0" documentId="8_{D6CC075D-F3B5-4250-8903-DE39D8239EA9}" xr6:coauthVersionLast="36" xr6:coauthVersionMax="36" xr10:uidLastSave="{00000000-0000-0000-0000-000000000000}"/>
  <x:bookViews>
    <x:workbookView xWindow="-120" yWindow="-120" windowWidth="29040" windowHeight="15720" firstSheet="0" activeTab="4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externalReferences>
    <x:externalReference r:id="rId6"/>
  </x:externalReference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B29" i="1"/>
  <x:c r="D29" i="1"/>
  <x:c r="E29" i="1"/>
  <x:c r="F29" i="1"/>
  <x:c r="H29" i="1"/>
  <x:c r="I29" i="1"/>
  <x:c r="J29" i="1"/>
  <x:c r="K29" i="1"/>
  <x:c r="B32" i="1"/>
  <x:c r="D32" i="1"/>
  <x:c r="E32" i="1"/>
  <x:c r="H32" i="1"/>
  <x:c r="I32" i="1"/>
  <x:c r="K32" i="1"/>
  <x:c r="C34" i="1"/>
  <x:c r="C35" i="1"/>
  <x:c r="C36" i="1"/>
  <x:c r="C37" i="1"/>
  <x:c r="C39" i="1"/>
  <x:c r="C40" i="1"/>
  <x:c r="C41" i="1"/>
  <x:c r="C42" i="1"/>
  <x:c r="C44" i="1"/>
  <x:c r="C28" i="2"/>
  <x:c r="D28" i="2"/>
  <x:c r="E28" i="2"/>
  <x:c r="C30" i="2"/>
  <x:c r="E30" i="2"/>
  <x:c r="E23" i="4"/>
  <x:c r="E25" i="4"/>
  <x:c r="D25" i="5"/>
  <x:c r="B34" i="5"/>
  <x:c r="C34" i="5"/>
  <x:c r="D34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<x:sst xmlns:x="http://schemas.openxmlformats.org/spreadsheetml/2006/main">
  <x:si>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</x:si>
  <x:si>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22 de octubre del 2025</x:t>
  </x:si>
  <x:si>
    <x:t>ICON GOLD JEWELLERY TRADING LLC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</x:si>
  <x:si>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</x:si>
  <x:si>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</x:si>
  <x:si>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</x:si>
  <x:si>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</x:si>
  <x:si>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</x:si>
  <x:si>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</x:si>
  <x:si>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SCOTIABANK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</x:si>
  <x:si>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</x:si>
  <x:si>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</x:si>
  <x:si>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</x:si>
  <x:si>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</x:si>
  <x:si>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</x:si>
  <x:si>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</x:si>
  <x:si>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</x:si>
  <x:si>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</x:si>
  <x:si>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</x:si>
  <x:si>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</x:si>
  <x:si>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</x:si>
  <x:si>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</x:si>
  <x:si>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</x:si>
  <x:si>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</x:si>
  <x:si>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</x:si>
  <x:si>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</x:si>
  <x:si>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</x:si>
  <x:si>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</x:si>
  <x:si>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</x:si>
  <x:si>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</x:si>
  <x:si>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</x:si>
  <x:si>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</x:si>
  <x:si>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</x:si>
  <x:si>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</x:si>
  <x:si>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</x:si>
  <x:si>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</x:si>
  <x:si>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</x:si>
  <x:si>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</x:si>
  <x:si>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</x:si>
  <x:si>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{{Cliente}}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</x:si>
  <x:si>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</x:si>
  <x:si>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</x:si>
  <x:si>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</x:si>
  <x:si>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</x:si>
  <x:si>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</x:si>
  <x:si>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e--09281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</x:si>
  <x:si>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</x:si>
  <x:si>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</x:si>
  <x:si>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</x:si>
  <x:si>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</x:si>
  <x:si>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</x:si>
  <x:si>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</x:si>
  <x:si>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</x:si>
  <x:si>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</x:si>
  <x:si>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</x:si>
  <x:si>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</x:si>
  <x:si>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</x:si>
  <x:si>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</x:si>
  <x:si>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</x:si>
  <x:si>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</x:si>
  <x:si>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</x:si>
  <x:si>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ICON GOLD JEWELLERY TRADING LLC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</x:si>
  <x:si>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</x:si>
  <x:si>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</x:si>
  <x:si>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</x:si>
  <x:si>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</x:si>
  <x:si>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</x:si>
  <x:si>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</x:si>
  <x:si>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</x:si>
  <x:si>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</x:si>
  <x:si>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</x:si>
  <x:si>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</x:si>
  <x:si>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</x:si>
  <x:si>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</x:si>
  <x:si>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</x:si>
  <x:si>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</x:si>
  <x:si>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</x:si>
  <x:si>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</x:si>
  <x:si>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</x:si>
  <x:si>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</x:si>
  <x:si>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</x:si>
  <x:si>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</x:si>
  <x:si>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</x:si>
  <x:si>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</x:si>
  <x:si>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</x:si>
  <x:si>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</x:si>
  <x:si>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</x:si>
  <x:si>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</x:si>
  <x:si>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</x:si>
  <x:si>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</x:si>
  <x:si>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</x:si>
  <x:si>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</x:si>
  <x:si>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</x:si>
  <x:si>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e--09281</x:t>
  </x:si>
  <x:si>
    <x:t>Jr. 7 De junio Nro. 412 Otr. Zona Cercado</x:t>
  </x:si>
  <x:si>
    <x:t>Attn: UKA RAM PUROHIT, Contact: 00971566584880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</x:si>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</x:sst>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ADOR\ECOGOLD%20-JUST%20TIME\CALCULO%20(7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6">
          <cell r="C6">
            <v>6185.1</v>
          </cell>
          <cell r="G6">
            <v>3350</v>
          </cell>
          <cell r="K6">
            <v>38.96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zoomScale="85" zoomScaleNormal="85" workbookViewId="0">
      <x:selection activeCell="C40" sqref="C40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12.25" style="31" customWidth="1"/>
    <x:col min="3" max="3" width="16.625" style="31" bestFit="1" customWidth="1"/>
    <x:col min="4" max="4" width="8.5" style="31" customWidth="1"/>
    <x:col min="5" max="5" width="9.25" style="31" customWidth="1"/>
    <x:col min="6" max="6" width="9.5" style="31" customWidth="1"/>
    <x:col min="7" max="7" width="10.5" style="31" customWidth="1"/>
    <x:col min="8" max="8" width="8.875" style="3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93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94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94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94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94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95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96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94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94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94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94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95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96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x14ac:dyDescent="0.25">
      <x:c r="A29" s="194">
        <x:v>1</x:v>
      </x:c>
      <x:c r="B29" s="195">
        <x:f>[1]Hoja1!$C$6</x:f>
      </x:c>
      <x:c r="C29" s="196">
        <x:v>0.7987</x:v>
      </x:c>
      <x:c r="D29" s="197">
        <x:f>B29*C29/1000</x:f>
      </x:c>
      <x:c r="E29" s="198">
        <x:f>D29*1000/31.1035</x:f>
      </x:c>
      <x:c r="F29" s="199">
        <x:f>[1]Hoja1!$G$6</x:f>
      </x:c>
      <x:c r="G29" s="196">
        <x:v>0.178</x:v>
      </x:c>
      <x:c r="H29" s="197">
        <x:f>B29*G29/1000</x:f>
      </x:c>
      <x:c r="I29" s="198">
        <x:f>H29*1000/31.1035</x:f>
      </x:c>
      <x:c r="J29" s="200">
        <x:f>[1]Hoja1!$K$6</x:f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22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23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24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25</x:v>
      </x:c>
      <x:c r="B36" s="213"/>
      <x:c r="C36" s="218">
        <x:f>F29</x:f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26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27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28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25</x:v>
      </x:c>
      <x:c r="B41" s="213"/>
      <x:c r="C41" s="218">
        <x:f>J29</x:f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29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30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31</x:v>
      </x:c>
      <x:c r="B46" s="183" t="s">
        <x:v>32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33</x:v>
      </x:c>
      <x:c r="B47" s="183" t="s">
        <x:v>34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35</x:v>
      </x:c>
      <x:c r="B48" s="183" t="s">
        <x:v>36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37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38</x:v>
      </x:c>
      <x:c r="B51" s="226" t="s">
        <x:v>39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40</x:v>
      </x:c>
      <x:c r="B52" s="226" t="s">
        <x:v>9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42</x:v>
      </x:c>
      <x:c r="B53" s="227" t="s">
        <x:v>41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44</x:v>
      </x:c>
      <x:c r="B54" s="189" t="s">
        <x:v>43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46</x:v>
      </x:c>
      <x:c r="B55" s="183" t="s">
        <x:v>47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C5" sqref="C5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48</x:v>
      </x:c>
      <x:c r="B5" s="229"/>
      <x:c r="C5" s="230" t="s">
        <x:v>93</x:v>
      </x:c>
      <x:c r="D5" s="231" t="s">
        <x:v>49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50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94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94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94</x:v>
      </x:c>
      <x:c r="B14" s="239"/>
      <x:c r="C14" s="239"/>
      <x:c r="D14" s="240"/>
      <x:c r="E14" s="187" t="s">
        <x:v>51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94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95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94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94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94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94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95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96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52</x:v>
      </x:c>
      <x:c r="B27" s="243" t="s">
        <x:v>53</x:v>
      </x:c>
      <x:c r="C27" s="243" t="s">
        <x:v>14</x:v>
      </x:c>
      <x:c r="D27" s="243" t="s">
        <x:v>54</x:v>
      </x:c>
      <x:c r="E27" s="243" t="s">
        <x:v>55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56</x:v>
      </x:c>
      <x:c r="B28" s="245" t="s">
        <x:v>93</x:v>
      </x:c>
      <x:c r="C28" s="246">
        <x:f>'INVOICE '!B29</x:f>
      </x:c>
      <x:c r="D28" s="247">
        <x:f>'INVOICE '!C29</x:f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22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57</x:v>
      </x:c>
      <x:c r="B7" s="255" t="s">
        <x:v>50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59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60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45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62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63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64</x:v>
      </x:c>
      <x:c r="B21" s="229"/>
      <x:c r="C21" s="264" t="s">
        <x:v>93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65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61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66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67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68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D28" sqref="D28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57</x:v>
      </x:c>
      <x:c r="B7" s="268" t="s">
        <x:v>50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65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61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66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67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69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70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71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72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73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74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75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76</x:v>
      </x:c>
      <x:c r="B24" s="183"/>
      <x:c r="C24" s="183"/>
      <x:c r="D24" s="183"/>
      <x:c r="E24" s="271" t="s">
        <x:v>34</x:v>
      </x:c>
      <x:c r="F24" s="176"/>
      <x:c r="G24" s="176"/>
      <x:c r="H24" s="176"/>
      <x:c r="I24" s="176"/>
    </x:row>
    <x:row r="25" spans="1:9" ht="15.75" customHeight="1" x14ac:dyDescent="0.2">
      <x:c r="A25" s="183" t="s">
        <x:v>77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78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79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79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abSelected="1" workbookViewId="0">
      <x:selection activeCell="N15" sqref="N15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58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94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94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94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94</x:v>
      </x:c>
      <x:c r="B11" s="239"/>
      <x:c r="C11" s="239"/>
      <x:c r="D11" s="240"/>
      <x:c r="E11" s="176"/>
      <x:c r="F11" s="176"/>
      <x:c r="G11" s="187" t="s">
        <x:v>51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95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94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94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94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94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95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96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80</x:v>
      </x:c>
      <x:c r="B24" s="176"/>
      <x:c r="C24" s="176"/>
      <x:c r="D24" s="273" t="s">
        <x:v>32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81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82</x:v>
      </x:c>
      <x:c r="B26" s="176"/>
      <x:c r="C26" s="176"/>
      <x:c r="D26" s="276" t="s">
        <x:v>34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83</x:v>
      </x:c>
      <x:c r="B27" s="176"/>
      <x:c r="C27" s="176"/>
      <x:c r="D27" s="278" t="s">
        <x:v>93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84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85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52</x:v>
      </x:c>
      <x:c r="B33" s="282" t="s">
        <x:v>86</x:v>
      </x:c>
      <x:c r="C33" s="282" t="s">
        <x:v>87</x:v>
      </x:c>
      <x:c r="D33" s="282" t="s">
        <x:v>88</x:v>
      </x:c>
      <x:c r="E33" s="282"/>
      <x:c r="F33" s="282" t="s">
        <x:v>89</x:v>
      </x:c>
      <x:c r="G33" s="282" t="s">
        <x:v>90</x:v>
      </x:c>
      <x:c r="H33" s="282" t="s">
        <x:v>91</x:v>
      </x:c>
      <x:c r="I33" s="282" t="s">
        <x:v>92</x:v>
      </x:c>
      <x:c r="J33" s="176"/>
      <x:c r="K33" s="176"/>
      <x:c r="L33" s="176"/>
    </x:row>
    <x:row r="34" spans="1:26" ht="15.75" customHeight="1" x14ac:dyDescent="0.2">
      <x:c r="A34" s="283" t="s">
        <x:v>56</x:v>
      </x:c>
      <x:c r="B34" s="284">
        <x:f>'INVOICE '!B29</x:f>
      </x:c>
      <x:c r="C34" s="285">
        <x:f>'INVOICE '!G29</x:f>
      </x:c>
      <x:c r="D34" s="285">
        <x:f>'INVOICE '!C29</x:f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22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2025-10-11T05:23:10.0000000Z</dcterms:modified>
</coreProperties>
</file>