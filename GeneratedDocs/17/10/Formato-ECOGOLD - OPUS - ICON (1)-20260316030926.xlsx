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550BEE8B-46A8-4A08-A130-443B33220FED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'!$A$1:$L$53</x:definedName>
    <x:definedName name="_xlnm.Print_Area" localSheetId="1">'Packing List'!$A$1:$I$28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Report'!$A$1:$K$34</x:definedName>
  </x:definedNames>
  <x:calcPr calcId="191029"/>
</x:workbook>
</file>

<file path=xl/calcChain.xml><?xml version="1.0" encoding="utf-8"?>
<x:calcChain xmlns:x="http://schemas.openxmlformats.org/spreadsheetml/2006/main">
  <x:c r="D25" i="1"/>
  <x:c r="E25" i="1"/>
  <x:c r="H25" i="1"/>
  <x:c r="I25" i="1"/>
  <x:c r="K25" i="1"/>
  <x:c r="B28" i="1"/>
  <x:c r="D28" i="1"/>
  <x:c r="E28" i="1"/>
  <x:c r="H28" i="1"/>
  <x:c r="I28" i="1"/>
  <x:c r="K28" i="1"/>
  <x:c r="C30" i="1"/>
  <x:c r="C31" i="1"/>
  <x:c r="C33" i="1"/>
  <x:c r="C35" i="1"/>
  <x:c r="C36" i="1"/>
  <x:c r="C38" i="1"/>
  <x:c r="C40" i="1"/>
  <x:c r="E24" i="2"/>
  <x:c r="C26" i="2"/>
  <x:c r="E26" i="2"/>
  <x:c r="E23" i="4"/>
  <x:c r="E25" i="4"/>
  <x:c r="D21" i="5"/>
  <x:c r="F30" i="5"/>
  <x:c r="G30" i="5"/>
  <x:c r="H30" i="5"/>
  <x:c r="I30" i="5"/>
  <x:c r="I31" i="5"/>
  <x:c r="B32" i="5"/>
  <x:c r="G32" i="5"/>
  <x:c r="H32" i="5"/>
  <x:c r="I32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<x:sst xmlns:x="http://schemas.openxmlformats.org/spreadsheetml/2006/main">
  <x:si>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</x:si>
  <x:si>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16 de marzo del 2026</x:t>
  </x:si>
  <x:si>
    <x:t>OPUS REFINERY PRIVATE LIMITED</x:t>
  </x:si>
  <x:si>
    <x:t xml:space="preserve">CONSIGNEE: </x:t>
  </x:si>
  <x:si>
    <x:t>CLIENT:</x:t>
  </x:si>
  <x:si>
    <x:t>CLIENT:(administrado)</x:t>
  </x:si>
  <x:si>
    <x:t>Frutas del Perú</x:t>
  </x:si>
  <x:si>
    <x:t>INVERSIONES TUCAN DE PILCUMAYO S.A.C.</x:t>
  </x:si>
  <x:si>
    <x:t xml:space="preserve">RUC: </x:t>
  </x:si>
  <x:si>
    <x:t>RUC: 20613948814</x:t>
  </x:si>
  <x:si>
    <x:t/>
  </x:si>
  <x:si>
    <x:t>JR. SANDIA NRO. 1001 URB. SANTA MARIA</x:t>
  </x:si>
  <x:si>
    <x:t>Arequipa - Arequipa - Cercado</x:t>
  </x:si>
  <x:si>
    <x:t>ICON GOLD JEWELLERY TRADING LLC</x:t>
  </x:si>
  <x:si>
    <x:t xml:space="preserve">BUYER: 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</x:si>
  <x:si>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</x:si>
  <x:si>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</x:si>
  <x:si>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</x:si>
  <x:si>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</x:si>
  <x:si>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23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</x:si>
  <x:si>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</x:si>
  <x:si>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</x:si>
  <x:si>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</x:si>
  <x:si>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</x:si>
  <x:si>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</x:si>
  <x:si>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</x:si>
  <x:si>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</x:si>
  <x:si>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</x:si>
  <x:si>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</x:si>
  <x:si>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</x:si>
  <x:si>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</x:si>
  <x:si>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CORPORATIVO AQUINCHU &amp; FLOR E.I.R.L.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</x:si>
  <x:si>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</x:si>
  <x:si>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</x:si>
  <x:si>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</x:si>
  <x:si>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</x:si>
  <x:si>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</x:si>
  <x:si>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</x:si>
  <x:si>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</x:si>
  <x:si>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</x:si>
  <x:si>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</x:si>
  <x:si>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</x:si>
  <x:si>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</x:si>
  <x:si>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</x:si>
  <x:si>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</x:si>
  <x:si>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</x:si>
  <x:si>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</x:si>
  <x:si>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</x:si>
  <x:si>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</x:si>
  <x:si>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INTERBANK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</x:si>
  <x:si>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</x:si>
  <x:si>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</x:si>
  <x:si>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</x:si>
  <x:si>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</x:si>
  <x:si>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</x:si>
  <x:si>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</x:si>
  <x:si>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</x:si>
  <x:si>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</x:si>
  <x:si>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</x:si>
  <x:si>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</x:si>
  <x:si>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 xml:space="preserve">This is to certify that the shipment bearing Invoice Number 2323 shipped to OPUS REFINERY 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</x:si>
  <x:si>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</x:si>
  <x:si>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</x:si>
  <x:si>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</x:si>
  <x:si>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</x:si>
  <x:si>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</x:si>
  <x:si>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</x:si>
  <x:si>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</x:si>
  <x:si>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</x:si>
  <x:si>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</x:si>
  <x:si>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CORPORATIVO AQUINCHU &amp; FLOR E.I.R.L.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</x:si>
  <x:si>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</x:si>
  <x:si>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</x:si>
  <x:si>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</x:si>
  <x:si>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</x:si>
  <x:si>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CAL. 2  MZ 19 LOTE 1 URB. SANTA ADRIANA</x:t>
  </x:si>
  <x:si>
    <x:t>RECPO-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</x:si>
  <x:si>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</x:si>
  <x:si>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</x:si>
  <x:si>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</x:si>
  <x:si>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</x:si>
  <x:si>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</x:si>
  <x:si>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</x:si>
  <x:si>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</x:si>
  <x:si>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</x:si>
  <x:si>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</x:si>
  <x:si>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</x:si>
  <x:si>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</x:si>
  <x:si>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</x:si>
  <x:si>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</x:si>
  <x:si>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</x:si>
  <x:si>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</x:si>
  <x:si>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</x:si>
  <x:si>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</x:si>
  <x:si>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</x:si>
  <x:si>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</x:si>
  <x:si>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</x:si>
  <x:si>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</x:si>
  <x:si>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</x:si>
  <x:si>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</x:si>
  <x:si>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</x:si>
  <x:si>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</x:si>
  <x:si>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2323</x:t>
  </x:si>
  <x:si>
    <x:t>1306, E WING 13TH FLOOR UNIT NO 1306, TRADE LINK, KAMLA CITY, SENAPATI BAPAT MARG, KAMLA MILLS COMPOUND, KAMLA MILLS COMPOUND LOWER PAREL</x:t>
  </x:si>
  <x:si>
    <x:t>Mumbai, Maharashtra, 98282-India</x:t>
  </x:si>
  <x:si>
    <x:t>Attn: Rushab Sanghav, Contact: +91 98203 00503</x:t>
  </x:si>
  <x:si>
    <x:t>Email: opusrefinery2020@gmail.com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</x:si>
</x:sst>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8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  <x:font>
      <x:b/>
      <x:u/>
      <x:sz val="9.5"/>
      <x:name val="Verdana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9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27" fillId="2" borderId="4" xfId="0" applyFont="1" applyFill="1" applyBorder="1"/>
    <x:xf numFmtId="0" fontId="11" fillId="3" borderId="4" xfId="15" applyFont="1" applyFill="1"/>
    <x:xf numFmtId="0" fontId="9" fillId="3" borderId="4" xfId="1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1"/>
  <x:sheetViews>
    <x:sheetView tabSelected="1" zoomScale="90" zoomScaleNormal="90" workbookViewId="0">
      <x:selection activeCell="L11" sqref="L11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6"/>
      <x:c r="B4" s="177"/>
      <x:c r="C4" s="177"/>
      <x:c r="D4" s="177"/>
      <x:c r="E4" s="177"/>
      <x:c r="F4" s="177"/>
      <x:c r="G4" s="177"/>
      <x:c r="H4" s="177"/>
      <x:c r="I4" s="177"/>
      <x:c r="J4" s="177"/>
      <x:c r="K4" s="177"/>
      <x:c r="L4" s="178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 spans="1:26" x14ac:dyDescent="0.25">
      <x:c r="A5" s="180" t="s">
        <x:v>0</x:v>
      </x:c>
      <x:c r="B5" s="181"/>
      <x:c r="C5" s="182" t="s">
        <x:v>102</x:v>
      </x:c>
      <x:c r="D5" s="178"/>
      <x:c r="E5" s="178"/>
      <x:c r="F5" s="178"/>
      <x:c r="G5" s="178"/>
      <x:c r="H5" s="178"/>
      <x:c r="I5" s="183" t="s">
        <x:v>1</x:v>
      </x:c>
      <x:c r="J5" s="178"/>
      <x:c r="K5" s="178"/>
      <x:c r="L5" s="178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 spans="1:26" ht="15" customHeight="1" x14ac:dyDescent="0.25">
      <x:c r="A6" s="178"/>
      <x:c r="B6" s="177"/>
      <x:c r="C6" s="184"/>
      <x:c r="D6" s="178"/>
      <x:c r="E6" s="178"/>
      <x:c r="F6" s="178"/>
      <x:c r="G6" s="185"/>
      <x:c r="H6" s="178"/>
      <x:c r="I6" s="186"/>
      <x:c r="J6" s="178"/>
      <x:c r="K6" s="178"/>
      <x:c r="L6" s="178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 spans="1:26" ht="15" customHeight="1" x14ac:dyDescent="0.25">
      <x:c r="A7" s="187" t="s">
        <x:v>3</x:v>
      </x:c>
      <x:c r="B7" s="177"/>
      <x:c r="C7" s="184"/>
      <x:c r="D7" s="178"/>
      <x:c r="E7" s="178"/>
      <x:c r="F7" s="188" t="s">
        <x:v>4</x:v>
      </x:c>
      <x:c r="G7" s="189" t="s">
        <x:v>5</x:v>
      </x:c>
      <x:c r="H7" s="190"/>
      <x:c r="I7" s="191"/>
      <x:c r="J7" s="190"/>
      <x:c r="K7" s="178"/>
      <x:c r="L7" s="178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 spans="1:26" x14ac:dyDescent="0.25">
      <x:c r="A8" s="192" t="s">
        <x:v>2</x:v>
      </x:c>
      <x:c r="B8" s="193"/>
      <x:c r="C8" s="193"/>
      <x:c r="D8" s="193"/>
      <x:c r="E8" s="193"/>
      <x:c r="F8" s="194" t="s">
        <x:v>7</x:v>
      </x:c>
      <x:c r="G8" s="185" t="s">
        <x:v>6</x:v>
      </x:c>
      <x:c r="H8" s="190"/>
      <x:c r="I8" s="190"/>
      <x:c r="J8" s="190"/>
      <x:c r="K8" s="178"/>
      <x:c r="L8" s="178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 spans="1:26" x14ac:dyDescent="0.25">
      <x:c r="A9" s="193" t="s">
        <x:v>103</x:v>
      </x:c>
      <x:c r="B9" s="193"/>
      <x:c r="C9" s="193"/>
      <x:c r="D9" s="193"/>
      <x:c r="E9" s="193"/>
      <x:c r="F9" s="190" t="s">
        <x:v>9</x:v>
      </x:c>
      <x:c r="G9" s="178" t="s">
        <x:v>8</x:v>
      </x:c>
      <x:c r="H9" s="190"/>
      <x:c r="I9" s="190"/>
      <x:c r="J9" s="190"/>
      <x:c r="K9" s="178"/>
      <x:c r="L9" s="178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 spans="1:26" x14ac:dyDescent="0.25">
      <x:c r="A10" s="193" t="s">
        <x:v>104</x:v>
      </x:c>
      <x:c r="B10" s="193"/>
      <x:c r="C10" s="193"/>
      <x:c r="D10" s="193"/>
      <x:c r="E10" s="193"/>
      <x:c r="F10" s="190" t="s">
        <x:v>11</x:v>
      </x:c>
      <x:c r="G10" s="178" t="s">
        <x:v>10</x:v>
      </x:c>
      <x:c r="H10" s="190"/>
      <x:c r="I10" s="190"/>
      <x:c r="J10" s="190"/>
      <x:c r="K10" s="178"/>
      <x:c r="L10" s="178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 spans="1:26" x14ac:dyDescent="0.25">
      <x:c r="A11" s="193" t="s">
        <x:v>105</x:v>
      </x:c>
      <x:c r="B11" s="193"/>
      <x:c r="C11" s="193"/>
      <x:c r="D11" s="193"/>
      <x:c r="E11" s="193"/>
      <x:c r="F11" s="187"/>
      <x:c r="G11" s="178" t="s">
        <x:v>12</x:v>
      </x:c>
      <x:c r="H11" s="178"/>
      <x:c r="I11" s="178"/>
      <x:c r="J11" s="178"/>
      <x:c r="K11" s="178"/>
      <x:c r="L11" s="178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 spans="1:26" x14ac:dyDescent="0.25">
      <x:c r="A12" s="193" t="s">
        <x:v>106</x:v>
      </x:c>
      <x:c r="B12" s="193"/>
      <x:c r="C12" s="193"/>
      <x:c r="D12" s="193"/>
      <x:c r="E12" s="193"/>
      <x:c r="F12" s="187"/>
      <x:c r="G12" s="178"/>
      <x:c r="H12" s="178"/>
      <x:c r="I12" s="178"/>
      <x:c r="J12" s="178"/>
      <x:c r="K12" s="178"/>
      <x:c r="L12" s="178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 spans="1:26" x14ac:dyDescent="0.25">
      <x:c r="A13" s="178"/>
      <x:c r="B13" s="178"/>
      <x:c r="C13" s="178"/>
      <x:c r="D13" s="178"/>
      <x:c r="E13" s="178"/>
      <x:c r="F13" s="185"/>
      <x:c r="G13" s="178"/>
      <x:c r="H13" s="178"/>
      <x:c r="I13" s="178"/>
      <x:c r="J13" s="178"/>
      <x:c r="K13" s="178"/>
      <x:c r="L13" s="178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 spans="1:26" x14ac:dyDescent="0.25">
      <x:c r="A14" s="187" t="s">
        <x:v>14</x:v>
      </x:c>
      <x:c r="B14" s="178"/>
      <x:c r="C14" s="178"/>
      <x:c r="D14" s="178"/>
      <x:c r="E14" s="195"/>
      <x:c r="F14" s="178"/>
      <x:c r="G14" s="178"/>
      <x:c r="H14" s="178"/>
      <x:c r="I14" s="178"/>
      <x:c r="J14" s="178"/>
      <x:c r="K14" s="178"/>
      <x:c r="L14" s="178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 spans="1:26" x14ac:dyDescent="0.25">
      <x:c r="A15" s="192" t="s">
        <x:v>13</x:v>
      </x:c>
      <x:c r="B15" s="193"/>
      <x:c r="C15" s="193"/>
      <x:c r="D15" s="178"/>
      <x:c r="E15" s="195"/>
      <x:c r="F15" s="178"/>
      <x:c r="G15" s="178"/>
      <x:c r="H15" s="178"/>
      <x:c r="I15" s="178"/>
      <x:c r="J15" s="178"/>
      <x:c r="K15" s="178"/>
      <x:c r="L15" s="178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 spans="1:26" x14ac:dyDescent="0.25">
      <x:c r="A16" s="193" t="s">
        <x:v>15</x:v>
      </x:c>
      <x:c r="B16" s="193"/>
      <x:c r="C16" s="193"/>
      <x:c r="D16" s="178"/>
      <x:c r="E16" s="195"/>
      <x:c r="F16" s="178"/>
      <x:c r="G16" s="178"/>
      <x:c r="H16" s="178"/>
      <x:c r="I16" s="178"/>
      <x:c r="J16" s="178"/>
      <x:c r="K16" s="178"/>
      <x:c r="L16" s="178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 spans="1:26" x14ac:dyDescent="0.25">
      <x:c r="A17" s="193" t="s">
        <x:v>16</x:v>
      </x:c>
      <x:c r="B17" s="193"/>
      <x:c r="C17" s="193"/>
      <x:c r="D17" s="178"/>
      <x:c r="E17" s="195"/>
      <x:c r="F17" s="178"/>
      <x:c r="G17" s="178"/>
      <x:c r="H17" s="178"/>
      <x:c r="I17" s="178"/>
      <x:c r="J17" s="178"/>
      <x:c r="K17" s="178"/>
      <x:c r="L17" s="178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 spans="1:26" x14ac:dyDescent="0.25">
      <x:c r="A18" s="193" t="s">
        <x:v>17</x:v>
      </x:c>
      <x:c r="B18" s="193"/>
      <x:c r="C18" s="193"/>
      <x:c r="D18" s="178"/>
      <x:c r="E18" s="195"/>
      <x:c r="F18" s="178"/>
      <x:c r="G18" s="178"/>
      <x:c r="H18" s="178"/>
      <x:c r="I18" s="178"/>
      <x:c r="J18" s="178"/>
      <x:c r="K18" s="178"/>
      <x:c r="L18" s="178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 spans="1:26" x14ac:dyDescent="0.25">
      <x:c r="A19" s="193" t="s">
        <x:v>18</x:v>
      </x:c>
      <x:c r="B19" s="193"/>
      <x:c r="C19" s="193"/>
      <x:c r="D19" s="178"/>
      <x:c r="E19" s="195"/>
      <x:c r="F19" s="178"/>
      <x:c r="G19" s="178"/>
      <x:c r="H19" s="178"/>
      <x:c r="I19" s="178"/>
      <x:c r="J19" s="178"/>
      <x:c r="K19" s="178"/>
      <x:c r="L19" s="178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 spans="1:26" x14ac:dyDescent="0.25">
      <x:c r="A20" s="178"/>
      <x:c r="B20" s="178"/>
      <x:c r="C20" s="178"/>
      <x:c r="D20" s="178"/>
      <x:c r="E20" s="195"/>
      <x:c r="F20" s="178"/>
      <x:c r="G20" s="178"/>
      <x:c r="H20" s="178"/>
      <x:c r="I20" s="178"/>
      <x:c r="J20" s="178"/>
      <x:c r="K20" s="178"/>
      <x:c r="L20" s="178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 spans="1:26" x14ac:dyDescent="0.25">
      <x:c r="A21" s="178"/>
      <x:c r="B21" s="178"/>
      <x:c r="C21" s="178"/>
      <x:c r="D21" s="178"/>
      <x:c r="E21" s="195"/>
      <x:c r="F21" s="196"/>
      <x:c r="G21" s="178"/>
      <x:c r="H21" s="178"/>
      <x:c r="I21" s="178"/>
      <x:c r="J21" s="178"/>
      <x:c r="K21" s="178"/>
      <x:c r="L21" s="178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 spans="1:26" x14ac:dyDescent="0.25">
      <x:c r="A22" s="178"/>
      <x:c r="B22" s="178"/>
      <x:c r="C22" s="178"/>
      <x:c r="D22" s="178"/>
      <x:c r="E22" s="195" t="s">
        <x:v>20</x:v>
      </x:c>
      <x:c r="F22" s="196"/>
      <x:c r="G22" s="178"/>
      <x:c r="H22" s="178"/>
      <x:c r="I22" s="178"/>
      <x:c r="J22" s="178"/>
      <x:c r="K22" s="178"/>
      <x:c r="L22" s="178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 spans="1:26" ht="21.75" customHeight="1" x14ac:dyDescent="0.25">
      <x:c r="A23" s="178"/>
      <x:c r="B23" s="178"/>
      <x:c r="C23" s="178"/>
      <x:c r="D23" s="178"/>
      <x:c r="E23" s="195" t="s">
        <x:v>21</x:v>
      </x:c>
      <x:c r="F23" s="196"/>
      <x:c r="G23" s="178"/>
      <x:c r="H23" s="178"/>
      <x:c r="I23" s="178"/>
      <x:c r="J23" s="178"/>
      <x:c r="K23" s="178"/>
      <x:c r="L23" s="178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 spans="1:26" ht="51" customHeight="1" x14ac:dyDescent="0.25">
      <x:c r="A24" s="74" t="s">
        <x:v>22</x:v>
      </x:c>
      <x:c r="B24" s="75" t="s">
        <x:v>23</x:v>
      </x:c>
      <x:c r="C24" s="75" t="s">
        <x:v>24</x:v>
      </x:c>
      <x:c r="D24" s="75" t="s">
        <x:v>25</x:v>
      </x:c>
      <x:c r="E24" s="75" t="s">
        <x:v>26</x:v>
      </x:c>
      <x:c r="F24" s="75" t="s">
        <x:v>27</x:v>
      </x:c>
      <x:c r="G24" s="75" t="s">
        <x:v>28</x:v>
      </x:c>
      <x:c r="H24" s="75" t="s">
        <x:v>29</x:v>
      </x:c>
      <x:c r="I24" s="75" t="s">
        <x:v>26</x:v>
      </x:c>
      <x:c r="J24" s="76" t="s">
        <x:v>27</x:v>
      </x:c>
      <x:c r="K24" s="74" t="s">
        <x:v>30</x:v>
      </x:c>
      <x:c r="L24" s="31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 spans="1:26" ht="38.25" customHeight="1" x14ac:dyDescent="0.25">
      <x:c r="A25" s="197">
        <x:v>1</x:v>
      </x:c>
      <x:c r="B25" s="198" t="s">
        <x:v>19</x:v>
      </x:c>
      <x:c r="C25" s="199" t="s">
        <x:v>19</x:v>
      </x:c>
      <x:c r="D25" s="200">
        <x:f>B25*C25/1000</x:f>
      </x:c>
      <x:c r="E25" s="201">
        <x:f>D25*1000/31.1035</x:f>
      </x:c>
      <x:c r="F25" s="202" t="s">
        <x:v>19</x:v>
      </x:c>
      <x:c r="G25" s="199" t="s">
        <x:v>19</x:v>
      </x:c>
      <x:c r="H25" s="200">
        <x:f>B25*G25/1000</x:f>
      </x:c>
      <x:c r="I25" s="201">
        <x:f>H25*1000/31.1035</x:f>
      </x:c>
      <x:c r="J25" s="203" t="s">
        <x:v>19</x:v>
      </x:c>
      <x:c r="K25" s="204">
        <x:f>(E25*F25)+(I25*J25)</x:f>
      </x:c>
      <x:c r="L25" s="31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 spans="1:26" ht="15.75" customHeight="1" x14ac:dyDescent="0.25">
      <x:c r="A26" s="78"/>
      <x:c r="B26" s="205"/>
      <x:c r="C26" s="206"/>
      <x:c r="D26" s="207"/>
      <x:c r="E26" s="208"/>
      <x:c r="F26" s="209"/>
      <x:c r="G26" s="206"/>
      <x:c r="H26" s="207"/>
      <x:c r="I26" s="208"/>
      <x:c r="J26" s="84"/>
      <x:c r="K26" s="85"/>
      <x:c r="L26" s="31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 spans="1:26" ht="15.75" customHeight="1" x14ac:dyDescent="0.25">
      <x:c r="A27" s="78"/>
      <x:c r="B27" s="205"/>
      <x:c r="C27" s="206"/>
      <x:c r="D27" s="207"/>
      <x:c r="E27" s="208"/>
      <x:c r="F27" s="209"/>
      <x:c r="G27" s="206"/>
      <x:c r="H27" s="207"/>
      <x:c r="I27" s="208"/>
      <x:c r="J27" s="84"/>
      <x:c r="K27" s="85"/>
      <x:c r="L27" s="31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 spans="1:26" ht="15.75" customHeight="1" x14ac:dyDescent="0.25">
      <x:c r="A28" s="86" t="s">
        <x:v>32</x:v>
      </x:c>
      <x:c r="B28" s="210">
        <x:f>SUM(B25:B27)</x:f>
      </x:c>
      <x:c r="C28" s="211"/>
      <x:c r="D28" s="212">
        <x:f>SUM(D25:D27)</x:f>
      </x:c>
      <x:c r="E28" s="210">
        <x:f>SUM(E25:E27)</x:f>
      </x:c>
      <x:c r="F28" s="211"/>
      <x:c r="G28" s="31"/>
      <x:c r="H28" s="212">
        <x:f>SUM(H25:H27)</x:f>
      </x:c>
      <x:c r="I28" s="210">
        <x:f>SUM(I25:I27)</x:f>
      </x:c>
      <x:c r="J28" s="211"/>
      <x:c r="K28" s="212">
        <x:f>SUM(K25:K27)</x:f>
      </x:c>
      <x:c r="L28" s="31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 spans="1:26" ht="15.75" customHeight="1" x14ac:dyDescent="0.25">
      <x:c r="A29" s="178"/>
      <x:c r="B29" s="178"/>
      <x:c r="C29" s="178"/>
      <x:c r="D29" s="213"/>
      <x:c r="E29" s="178"/>
      <x:c r="F29" s="178"/>
      <x:c r="G29" s="178"/>
      <x:c r="H29" s="178"/>
      <x:c r="I29" s="178"/>
      <x:c r="J29" s="178"/>
      <x:c r="K29" s="178"/>
      <x:c r="L29" s="178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 spans="1:26" ht="15.75" customHeight="1" x14ac:dyDescent="0.25">
      <x:c r="A30" s="214" t="s">
        <x:v>33</x:v>
      </x:c>
      <x:c r="B30" s="178"/>
      <x:c r="C30" s="215">
        <x:f>D28</x:f>
      </x:c>
      <x:c r="D30" s="178"/>
      <x:c r="E30" s="178"/>
      <x:c r="F30" s="178"/>
      <x:c r="G30" s="178"/>
      <x:c r="H30" s="178"/>
      <x:c r="I30" s="216"/>
      <x:c r="J30" s="178"/>
      <x:c r="K30" s="178"/>
      <x:c r="L30" s="178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 spans="1:26" ht="15.75" customHeight="1" x14ac:dyDescent="0.25">
      <x:c r="A31" s="214" t="s">
        <x:v>34</x:v>
      </x:c>
      <x:c r="B31" s="178"/>
      <x:c r="C31" s="217">
        <x:f>E28</x:f>
      </x:c>
      <x:c r="D31" s="218"/>
      <x:c r="E31" s="219"/>
      <x:c r="F31" s="220"/>
      <x:c r="G31" s="178"/>
      <x:c r="H31" s="213"/>
      <x:c r="I31" s="216"/>
      <x:c r="J31" s="178"/>
      <x:c r="K31" s="219"/>
      <x:c r="L31" s="178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 spans="1:26" ht="15.75" customHeight="1" x14ac:dyDescent="0.25">
      <x:c r="A32" s="214" t="s">
        <x:v>35</x:v>
      </x:c>
      <x:c r="B32" s="216"/>
      <x:c r="C32" s="221" t="s">
        <x:v>19</x:v>
      </x:c>
      <x:c r="D32" s="222"/>
      <x:c r="E32" s="213"/>
      <x:c r="F32" s="213"/>
      <x:c r="G32" s="178"/>
      <x:c r="H32" s="178"/>
      <x:c r="I32" s="216"/>
      <x:c r="J32" s="178"/>
      <x:c r="K32" s="223"/>
      <x:c r="L32" s="178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 spans="1:26" ht="15.75" customHeight="1" x14ac:dyDescent="0.25">
      <x:c r="A33" s="214" t="s">
        <x:v>36</x:v>
      </x:c>
      <x:c r="B33" s="178"/>
      <x:c r="C33" s="224">
        <x:f>C31*C32</x:f>
      </x:c>
      <x:c r="D33" s="218"/>
      <x:c r="E33" s="223"/>
      <x:c r="F33" s="223"/>
      <x:c r="G33" s="225"/>
      <x:c r="H33" s="226"/>
      <x:c r="I33" s="178"/>
      <x:c r="J33" s="216"/>
      <x:c r="K33" s="223"/>
      <x:c r="L33" s="178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 spans="1:26" ht="5.25" customHeight="1" x14ac:dyDescent="0.25">
      <x:c r="A34" s="178"/>
      <x:c r="B34" s="178"/>
      <x:c r="C34" s="178"/>
      <x:c r="D34" s="218"/>
      <x:c r="E34" s="223"/>
      <x:c r="F34" s="223"/>
      <x:c r="G34" s="225"/>
      <x:c r="H34" s="226"/>
      <x:c r="I34" s="223"/>
      <x:c r="J34" s="178"/>
      <x:c r="K34" s="223"/>
      <x:c r="L34" s="178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 spans="1:26" ht="15.75" customHeight="1" x14ac:dyDescent="0.25">
      <x:c r="A35" s="214" t="s">
        <x:v>37</x:v>
      </x:c>
      <x:c r="B35" s="178"/>
      <x:c r="C35" s="215">
        <x:f>H28</x:f>
      </x:c>
      <x:c r="D35" s="218"/>
      <x:c r="E35" s="223"/>
      <x:c r="F35" s="223"/>
      <x:c r="G35" s="225"/>
      <x:c r="H35" s="226"/>
      <x:c r="I35" s="178"/>
      <x:c r="J35" s="178"/>
      <x:c r="K35" s="178"/>
      <x:c r="L35" s="178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 spans="1:26" ht="15.75" customHeight="1" x14ac:dyDescent="0.25">
      <x:c r="A36" s="214" t="s">
        <x:v>38</x:v>
      </x:c>
      <x:c r="B36" s="178"/>
      <x:c r="C36" s="217">
        <x:f>I28</x:f>
      </x:c>
      <x:c r="D36" s="218"/>
      <x:c r="E36" s="223"/>
      <x:c r="F36" s="223"/>
      <x:c r="G36" s="225"/>
      <x:c r="H36" s="226"/>
      <x:c r="I36" s="178"/>
      <x:c r="J36" s="178"/>
      <x:c r="K36" s="178"/>
      <x:c r="L36" s="178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 spans="1:26" ht="15.75" customHeight="1" x14ac:dyDescent="0.25">
      <x:c r="A37" s="214" t="s">
        <x:v>35</x:v>
      </x:c>
      <x:c r="B37" s="216"/>
      <x:c r="C37" s="221" t="s">
        <x:v>19</x:v>
      </x:c>
      <x:c r="D37" s="178"/>
      <x:c r="E37" s="225"/>
      <x:c r="F37" s="225"/>
      <x:c r="G37" s="226"/>
      <x:c r="H37" s="178"/>
      <x:c r="I37" s="178"/>
      <x:c r="J37" s="178"/>
      <x:c r="K37" s="178"/>
      <x:c r="L37" s="178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 spans="1:26" ht="15.75" customHeight="1" x14ac:dyDescent="0.25">
      <x:c r="A38" s="214" t="s">
        <x:v>39</x:v>
      </x:c>
      <x:c r="B38" s="178"/>
      <x:c r="C38" s="224">
        <x:f>C36*C37</x:f>
      </x:c>
      <x:c r="D38" s="178"/>
      <x:c r="E38" s="178"/>
      <x:c r="F38" s="178"/>
      <x:c r="G38" s="178"/>
      <x:c r="H38" s="178"/>
      <x:c r="I38" s="178"/>
      <x:c r="J38" s="178"/>
      <x:c r="K38" s="178"/>
      <x:c r="L38" s="178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 spans="1:26" ht="11.25" customHeight="1" x14ac:dyDescent="0.25">
      <x:c r="A39" s="178"/>
      <x:c r="B39" s="178"/>
      <x:c r="C39" s="178"/>
      <x:c r="D39" s="178"/>
      <x:c r="E39" s="178"/>
      <x:c r="F39" s="178"/>
      <x:c r="G39" s="225"/>
      <x:c r="H39" s="178"/>
      <x:c r="I39" s="178"/>
      <x:c r="J39" s="178"/>
      <x:c r="K39" s="178"/>
      <x:c r="L39" s="178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 spans="1:26" ht="15.75" customHeight="1" x14ac:dyDescent="0.25">
      <x:c r="A40" s="214" t="s">
        <x:v>40</x:v>
      </x:c>
      <x:c r="B40" s="178"/>
      <x:c r="C40" s="224">
        <x:f>C33+C38</x:f>
      </x:c>
      <x:c r="D40" s="220"/>
      <x:c r="E40" s="178"/>
      <x:c r="F40" s="178"/>
      <x:c r="G40" s="178"/>
      <x:c r="H40" s="178"/>
      <x:c r="I40" s="178"/>
      <x:c r="J40" s="178"/>
      <x:c r="K40" s="178"/>
      <x:c r="L40" s="178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 spans="1:26" ht="4.5" customHeight="1" x14ac:dyDescent="0.25">
      <x:c r="A41" s="178"/>
      <x:c r="B41" s="216"/>
      <x:c r="C41" s="227"/>
      <x:c r="D41" s="178"/>
      <x:c r="E41" s="178"/>
      <x:c r="F41" s="178"/>
      <x:c r="G41" s="178"/>
      <x:c r="H41" s="178"/>
      <x:c r="I41" s="178"/>
      <x:c r="J41" s="178"/>
      <x:c r="K41" s="178"/>
      <x:c r="L41" s="178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 spans="1:26" ht="15.75" customHeight="1" x14ac:dyDescent="0.25">
      <x:c r="A42" s="214" t="s">
        <x:v>41</x:v>
      </x:c>
      <x:c r="B42" s="185" t="s">
        <x:v>42</x:v>
      </x:c>
      <x:c r="C42" s="227"/>
      <x:c r="D42" s="178"/>
      <x:c r="E42" s="178"/>
      <x:c r="F42" s="178"/>
      <x:c r="G42" s="178"/>
      <x:c r="H42" s="178"/>
      <x:c r="I42" s="178"/>
      <x:c r="J42" s="178"/>
      <x:c r="K42" s="178"/>
      <x:c r="L42" s="178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 spans="1:26" ht="15.75" customHeight="1" x14ac:dyDescent="0.25">
      <x:c r="A43" s="214" t="s">
        <x:v>43</x:v>
      </x:c>
      <x:c r="B43" s="185" t="s">
        <x:v>44</x:v>
      </x:c>
      <x:c r="C43" s="227"/>
      <x:c r="D43" s="178"/>
      <x:c r="E43" s="178"/>
      <x:c r="F43" s="178"/>
      <x:c r="G43" s="178"/>
      <x:c r="H43" s="178"/>
      <x:c r="I43" s="178"/>
      <x:c r="J43" s="178"/>
      <x:c r="K43" s="178"/>
      <x:c r="L43" s="178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 spans="1:26" ht="15.75" customHeight="1" x14ac:dyDescent="0.25">
      <x:c r="A44" s="214" t="s">
        <x:v>45</x:v>
      </x:c>
      <x:c r="B44" s="185" t="s">
        <x:v>46</x:v>
      </x:c>
      <x:c r="C44" s="227"/>
      <x:c r="D44" s="178"/>
      <x:c r="E44" s="178"/>
      <x:c r="F44" s="178"/>
      <x:c r="G44" s="178"/>
      <x:c r="H44" s="178"/>
      <x:c r="I44" s="178"/>
      <x:c r="J44" s="178"/>
      <x:c r="K44" s="178"/>
      <x:c r="L44" s="178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 spans="1:26" ht="5.25" customHeight="1" x14ac:dyDescent="0.25">
      <x:c r="A45" s="178"/>
      <x:c r="B45" s="178"/>
      <x:c r="C45" s="178"/>
      <x:c r="D45" s="178"/>
      <x:c r="E45" s="178"/>
      <x:c r="F45" s="178"/>
      <x:c r="G45" s="178"/>
      <x:c r="H45" s="178"/>
      <x:c r="I45" s="178"/>
      <x:c r="J45" s="178"/>
      <x:c r="K45" s="178"/>
      <x:c r="L45" s="178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 spans="1:26" ht="15.75" customHeight="1" x14ac:dyDescent="0.25">
      <x:c r="A46" s="228" t="s">
        <x:v>47</x:v>
      </x:c>
      <x:c r="B46" s="185"/>
      <x:c r="C46" s="178"/>
      <x:c r="D46" s="178"/>
      <x:c r="E46" s="178"/>
      <x:c r="F46" s="178"/>
      <x:c r="G46" s="178"/>
      <x:c r="H46" s="178"/>
      <x:c r="I46" s="178"/>
      <x:c r="J46" s="178"/>
      <x:c r="K46" s="178"/>
      <x:c r="L46" s="178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 spans="1:26" ht="15.75" customHeight="1" x14ac:dyDescent="0.25">
      <x:c r="A47" s="214" t="s">
        <x:v>48</x:v>
      </x:c>
      <x:c r="B47" s="229" t="s">
        <x:v>31</x:v>
      </x:c>
      <x:c r="C47" s="193"/>
      <x:c r="D47" s="193"/>
      <x:c r="E47" s="193"/>
      <x:c r="F47" s="178"/>
      <x:c r="G47" s="178"/>
      <x:c r="H47" s="178"/>
      <x:c r="I47" s="178"/>
      <x:c r="J47" s="178"/>
      <x:c r="K47" s="178"/>
      <x:c r="L47" s="178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 spans="1:26" ht="15.75" customHeight="1" x14ac:dyDescent="0.25">
      <x:c r="A48" s="214" t="s">
        <x:v>50</x:v>
      </x:c>
      <x:c r="B48" s="229" t="s">
        <x:v>49</x:v>
      </x:c>
      <x:c r="C48" s="193"/>
      <x:c r="D48" s="178"/>
      <x:c r="E48" s="178"/>
      <x:c r="F48" s="178"/>
      <x:c r="G48" s="178"/>
      <x:c r="H48" s="178"/>
      <x:c r="I48" s="178"/>
      <x:c r="J48" s="178"/>
      <x:c r="K48" s="178"/>
      <x:c r="L48" s="178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 spans="1:26" ht="15.75" customHeight="1" x14ac:dyDescent="0.25">
      <x:c r="A49" s="214" t="s">
        <x:v>52</x:v>
      </x:c>
      <x:c r="B49" s="230" t="s">
        <x:v>51</x:v>
      </x:c>
      <x:c r="C49" s="193"/>
      <x:c r="D49" s="178"/>
      <x:c r="E49" s="178"/>
      <x:c r="F49" s="178"/>
      <x:c r="G49" s="178"/>
      <x:c r="H49" s="178"/>
      <x:c r="I49" s="178"/>
      <x:c r="J49" s="178"/>
      <x:c r="K49" s="178"/>
      <x:c r="L49" s="178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 spans="1:26" ht="15.75" customHeight="1" x14ac:dyDescent="0.25">
      <x:c r="A50" s="214" t="s">
        <x:v>54</x:v>
      </x:c>
      <x:c r="B50" s="192" t="s">
        <x:v>53</x:v>
      </x:c>
      <x:c r="C50" s="193"/>
      <x:c r="D50" s="178"/>
      <x:c r="E50" s="178"/>
      <x:c r="F50" s="178"/>
      <x:c r="G50" s="178"/>
      <x:c r="H50" s="178"/>
      <x:c r="I50" s="178"/>
      <x:c r="J50" s="178"/>
      <x:c r="K50" s="178"/>
      <x:c r="L50" s="178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 spans="1:26" ht="15.75" customHeight="1" x14ac:dyDescent="0.25">
      <x:c r="A51" s="214" t="s">
        <x:v>55</x:v>
      </x:c>
      <x:c r="B51" s="185" t="s">
        <x:v>56</x:v>
      </x:c>
      <x:c r="C51" s="178"/>
      <x:c r="D51" s="178"/>
      <x:c r="E51" s="178"/>
      <x:c r="F51" s="178"/>
      <x:c r="G51" s="178"/>
      <x:c r="H51" s="178"/>
      <x:c r="I51" s="178"/>
      <x:c r="J51" s="178"/>
      <x:c r="K51" s="178"/>
      <x:c r="L51" s="178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 spans="1:26" ht="15.75" customHeight="1" x14ac:dyDescent="0.25">
      <x:c r="A52" s="178"/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 spans="1:26" ht="15.75" customHeight="1" x14ac:dyDescent="0.25">
      <x:c r="A53" s="178"/>
      <x:c r="B53" s="178"/>
      <x:c r="C53" s="178"/>
      <x:c r="D53" s="178"/>
      <x:c r="E53" s="178"/>
      <x:c r="F53" s="178"/>
      <x:c r="G53" s="178"/>
      <x:c r="H53" s="178"/>
      <x:c r="I53" s="178"/>
      <x:c r="J53" s="178"/>
      <x:c r="K53" s="178"/>
      <x:c r="L53" s="178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 spans="1:26" ht="15.75" customHeight="1" x14ac:dyDescent="0.25">
      <x:c r="A54" s="178"/>
      <x:c r="B54" s="178"/>
      <x:c r="C54" s="178"/>
      <x:c r="D54" s="178"/>
      <x:c r="E54" s="178"/>
      <x:c r="F54" s="178"/>
      <x:c r="G54" s="178"/>
      <x:c r="H54" s="178"/>
      <x:c r="I54" s="178"/>
      <x:c r="J54" s="178"/>
      <x:c r="K54" s="178"/>
      <x:c r="L54" s="178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 spans="1:26" ht="15.75" customHeight="1" x14ac:dyDescent="0.25">
      <x:c r="A55" s="178"/>
      <x:c r="B55" s="178"/>
      <x:c r="C55" s="178"/>
      <x:c r="D55" s="178"/>
      <x:c r="E55" s="178"/>
      <x:c r="F55" s="178"/>
      <x:c r="G55" s="178"/>
      <x:c r="H55" s="178"/>
      <x:c r="I55" s="178"/>
      <x:c r="J55" s="178"/>
      <x:c r="K55" s="178"/>
      <x:c r="L55" s="178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 spans="1:26" ht="15.75" customHeight="1" x14ac:dyDescent="0.25">
      <x:c r="A56" s="178"/>
      <x:c r="B56" s="178"/>
      <x:c r="C56" s="178"/>
      <x:c r="D56" s="178"/>
      <x:c r="E56" s="178"/>
      <x:c r="F56" s="178"/>
      <x:c r="G56" s="178"/>
      <x:c r="H56" s="178"/>
      <x:c r="I56" s="178"/>
      <x:c r="J56" s="178"/>
      <x:c r="K56" s="178"/>
      <x:c r="L56" s="178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 spans="1:26" ht="15.75" customHeight="1" x14ac:dyDescent="0.25">
      <x:c r="A57" s="178"/>
      <x:c r="B57" s="178"/>
      <x:c r="C57" s="178"/>
      <x:c r="D57" s="178"/>
      <x:c r="E57" s="178"/>
      <x:c r="F57" s="178"/>
      <x:c r="G57" s="178"/>
      <x:c r="H57" s="178"/>
      <x:c r="I57" s="178"/>
      <x:c r="J57" s="178"/>
      <x:c r="K57" s="178"/>
      <x:c r="L57" s="178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 spans="1:26" ht="15.75" customHeight="1" x14ac:dyDescent="0.25">
      <x:c r="A58" s="178"/>
      <x:c r="B58" s="178"/>
      <x:c r="C58" s="178"/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 spans="1:26" ht="15.75" customHeight="1" x14ac:dyDescent="0.25">
      <x:c r="A59" s="178"/>
      <x:c r="B59" s="178"/>
      <x:c r="C59" s="178"/>
      <x:c r="D59" s="178"/>
      <x:c r="E59" s="178"/>
      <x:c r="F59" s="178"/>
      <x:c r="G59" s="178"/>
      <x:c r="H59" s="178"/>
      <x:c r="I59" s="178"/>
      <x:c r="J59" s="178"/>
      <x:c r="K59" s="178"/>
      <x:c r="L59" s="178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 spans="1:26" ht="15.75" customHeight="1" x14ac:dyDescent="0.25">
      <x:c r="A60" s="178"/>
      <x:c r="B60" s="178"/>
      <x:c r="C60" s="178"/>
      <x:c r="D60" s="178"/>
      <x:c r="E60" s="178"/>
      <x:c r="F60" s="178"/>
      <x:c r="G60" s="178"/>
      <x:c r="H60" s="178"/>
      <x:c r="I60" s="178"/>
      <x:c r="J60" s="178"/>
      <x:c r="K60" s="178"/>
      <x:c r="L60" s="178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 spans="1:26" ht="15.75" customHeight="1" x14ac:dyDescent="0.25">
      <x:c r="A61" s="178"/>
      <x:c r="B61" s="178"/>
      <x:c r="C61" s="178"/>
      <x:c r="D61" s="178"/>
      <x:c r="E61" s="178"/>
      <x:c r="F61" s="178"/>
      <x:c r="G61" s="178"/>
      <x:c r="H61" s="178"/>
      <x:c r="I61" s="178"/>
      <x:c r="J61" s="178"/>
      <x:c r="K61" s="178"/>
      <x:c r="L61" s="178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 spans="1:26" ht="15.75" customHeight="1" x14ac:dyDescent="0.25">
      <x:c r="A62" s="178"/>
      <x:c r="B62" s="178"/>
      <x:c r="C62" s="178"/>
      <x:c r="D62" s="178"/>
      <x:c r="E62" s="178"/>
      <x:c r="F62" s="178"/>
      <x:c r="G62" s="178"/>
      <x:c r="H62" s="178"/>
      <x:c r="I62" s="178"/>
      <x:c r="J62" s="178"/>
      <x:c r="K62" s="178"/>
      <x:c r="L62" s="178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 spans="1:26" ht="15.75" customHeight="1" x14ac:dyDescent="0.25">
      <x:c r="A63" s="178"/>
      <x:c r="B63" s="178"/>
      <x:c r="C63" s="178"/>
      <x:c r="D63" s="178"/>
      <x:c r="E63" s="178"/>
      <x:c r="F63" s="178"/>
      <x:c r="G63" s="178"/>
      <x:c r="H63" s="178"/>
      <x:c r="I63" s="178"/>
      <x:c r="J63" s="178"/>
      <x:c r="K63" s="178"/>
      <x:c r="L63" s="178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 spans="1:26" ht="15.75" customHeight="1" x14ac:dyDescent="0.25">
      <x:c r="A64" s="178"/>
      <x:c r="B64" s="178"/>
      <x:c r="C64" s="178"/>
      <x:c r="D64" s="178"/>
      <x:c r="E64" s="178"/>
      <x:c r="F64" s="178"/>
      <x:c r="G64" s="178"/>
      <x:c r="H64" s="178"/>
      <x:c r="I64" s="178"/>
      <x:c r="J64" s="178"/>
      <x:c r="K64" s="178"/>
      <x:c r="L64" s="178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 spans="1:26" ht="15.75" customHeight="1" x14ac:dyDescent="0.25">
      <x:c r="A65" s="178"/>
      <x:c r="B65" s="178"/>
      <x:c r="C65" s="178"/>
      <x:c r="D65" s="178"/>
      <x:c r="E65" s="178"/>
      <x:c r="F65" s="178"/>
      <x:c r="G65" s="178"/>
      <x:c r="H65" s="178"/>
      <x:c r="I65" s="178"/>
      <x:c r="J65" s="178"/>
      <x:c r="K65" s="178"/>
      <x:c r="L65" s="178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 spans="1:26" ht="15.75" customHeight="1" x14ac:dyDescent="0.25">
      <x:c r="A66" s="178"/>
      <x:c r="B66" s="178"/>
      <x:c r="C66" s="178"/>
      <x:c r="D66" s="178"/>
      <x:c r="E66" s="178"/>
      <x:c r="F66" s="178"/>
      <x:c r="G66" s="178"/>
      <x:c r="H66" s="178"/>
      <x:c r="I66" s="178"/>
      <x:c r="J66" s="178"/>
      <x:c r="K66" s="178"/>
      <x:c r="L66" s="178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 spans="1:26" ht="15.75" customHeight="1" x14ac:dyDescent="0.25">
      <x:c r="A67" s="178"/>
      <x:c r="B67" s="178"/>
      <x:c r="C67" s="178"/>
      <x:c r="D67" s="178"/>
      <x:c r="E67" s="178"/>
      <x:c r="F67" s="178"/>
      <x:c r="G67" s="178"/>
      <x:c r="H67" s="178"/>
      <x:c r="I67" s="178"/>
      <x:c r="J67" s="178"/>
      <x:c r="K67" s="178"/>
      <x:c r="L67" s="178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 spans="1:26" ht="15.75" customHeight="1" x14ac:dyDescent="0.25">
      <x:c r="A68" s="178"/>
      <x:c r="B68" s="178"/>
      <x:c r="C68" s="178"/>
      <x:c r="D68" s="178"/>
      <x:c r="E68" s="178"/>
      <x:c r="F68" s="178"/>
      <x:c r="G68" s="178"/>
      <x:c r="H68" s="178"/>
      <x:c r="I68" s="178"/>
      <x:c r="J68" s="178"/>
      <x:c r="K68" s="178"/>
      <x:c r="L68" s="178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 spans="1:26" ht="15.75" customHeight="1" x14ac:dyDescent="0.25">
      <x:c r="A69" s="178"/>
      <x:c r="B69" s="178"/>
      <x:c r="C69" s="178"/>
      <x:c r="D69" s="178"/>
      <x:c r="E69" s="178"/>
      <x:c r="F69" s="178"/>
      <x:c r="G69" s="178"/>
      <x:c r="H69" s="178"/>
      <x:c r="I69" s="178"/>
      <x:c r="J69" s="178"/>
      <x:c r="K69" s="178"/>
      <x:c r="L69" s="178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 spans="1:26" ht="15.75" customHeight="1" x14ac:dyDescent="0.25">
      <x:c r="A70" s="178"/>
      <x:c r="B70" s="178"/>
      <x:c r="C70" s="178"/>
      <x:c r="D70" s="178"/>
      <x:c r="E70" s="178"/>
      <x:c r="F70" s="178"/>
      <x:c r="G70" s="178"/>
      <x:c r="H70" s="178"/>
      <x:c r="I70" s="178"/>
      <x:c r="J70" s="178"/>
      <x:c r="K70" s="178"/>
      <x:c r="L70" s="178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 spans="1:26" ht="15.75" customHeight="1" x14ac:dyDescent="0.25">
      <x:c r="A71" s="178"/>
      <x:c r="B71" s="178"/>
      <x:c r="C71" s="178"/>
      <x:c r="D71" s="178"/>
      <x:c r="E71" s="178"/>
      <x:c r="F71" s="178"/>
      <x:c r="G71" s="178"/>
      <x:c r="H71" s="178"/>
      <x:c r="I71" s="178"/>
      <x:c r="J71" s="178"/>
      <x:c r="K71" s="178"/>
      <x:c r="L71" s="178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 spans="1:26" ht="15.75" customHeight="1" x14ac:dyDescent="0.25">
      <x:c r="A72" s="178"/>
      <x:c r="B72" s="178"/>
      <x:c r="C72" s="178"/>
      <x:c r="D72" s="178"/>
      <x:c r="E72" s="178"/>
      <x:c r="F72" s="178"/>
      <x:c r="G72" s="178"/>
      <x:c r="H72" s="178"/>
      <x:c r="I72" s="178"/>
      <x:c r="J72" s="178"/>
      <x:c r="K72" s="178"/>
      <x:c r="L72" s="178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 spans="1:26" ht="15.75" customHeight="1" x14ac:dyDescent="0.25">
      <x:c r="A73" s="178"/>
      <x:c r="B73" s="178"/>
      <x:c r="C73" s="178"/>
      <x:c r="D73" s="178"/>
      <x:c r="E73" s="178"/>
      <x:c r="F73" s="178"/>
      <x:c r="G73" s="178"/>
      <x:c r="H73" s="178"/>
      <x:c r="I73" s="178"/>
      <x:c r="J73" s="178"/>
      <x:c r="K73" s="178"/>
      <x:c r="L73" s="178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 spans="1:26" ht="15.75" customHeight="1" x14ac:dyDescent="0.25">
      <x:c r="A74" s="178"/>
      <x:c r="B74" s="178"/>
      <x:c r="C74" s="178"/>
      <x:c r="D74" s="178"/>
      <x:c r="E74" s="178"/>
      <x:c r="F74" s="178"/>
      <x:c r="G74" s="178"/>
      <x:c r="H74" s="178"/>
      <x:c r="I74" s="178"/>
      <x:c r="J74" s="178"/>
      <x:c r="K74" s="178"/>
      <x:c r="L74" s="178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 spans="1:26" ht="15.75" customHeight="1" x14ac:dyDescent="0.25">
      <x:c r="A75" s="178"/>
      <x:c r="B75" s="178"/>
      <x:c r="C75" s="178"/>
      <x:c r="D75" s="178"/>
      <x:c r="E75" s="178"/>
      <x:c r="F75" s="178"/>
      <x:c r="G75" s="178"/>
      <x:c r="H75" s="178"/>
      <x:c r="I75" s="178"/>
      <x:c r="J75" s="178"/>
      <x:c r="K75" s="178"/>
      <x:c r="L75" s="178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 spans="1:26" ht="15.75" customHeight="1" x14ac:dyDescent="0.25">
      <x:c r="A76" s="178"/>
      <x:c r="B76" s="178"/>
      <x:c r="C76" s="178"/>
      <x:c r="D76" s="178"/>
      <x:c r="E76" s="178"/>
      <x:c r="F76" s="178"/>
      <x:c r="G76" s="178"/>
      <x:c r="H76" s="178"/>
      <x:c r="I76" s="178"/>
      <x:c r="J76" s="178"/>
      <x:c r="K76" s="178"/>
      <x:c r="L76" s="178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 spans="1:26" ht="15.75" customHeight="1" x14ac:dyDescent="0.25">
      <x:c r="A77" s="178"/>
      <x:c r="B77" s="178"/>
      <x:c r="C77" s="178"/>
      <x:c r="D77" s="178"/>
      <x:c r="E77" s="178"/>
      <x:c r="F77" s="178"/>
      <x:c r="G77" s="178"/>
      <x:c r="H77" s="178"/>
      <x:c r="I77" s="178"/>
      <x:c r="J77" s="178"/>
      <x:c r="K77" s="178"/>
      <x:c r="L77" s="178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 spans="1:26" ht="15.75" customHeight="1" x14ac:dyDescent="0.25">
      <x:c r="A78" s="178"/>
      <x:c r="B78" s="178"/>
      <x:c r="C78" s="178"/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 spans="1:26" ht="15.75" customHeight="1" x14ac:dyDescent="0.25">
      <x:c r="A79" s="178"/>
      <x:c r="B79" s="178"/>
      <x:c r="C79" s="178"/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 spans="1:26" ht="15.75" customHeight="1" x14ac:dyDescent="0.25">
      <x:c r="A80" s="178"/>
      <x:c r="B80" s="178"/>
      <x:c r="C80" s="178"/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 spans="1:26" ht="15.75" customHeight="1" x14ac:dyDescent="0.25">
      <x:c r="A81" s="178"/>
      <x:c r="B81" s="178"/>
      <x:c r="C81" s="178"/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 spans="1:26" ht="15.75" customHeight="1" x14ac:dyDescent="0.25">
      <x:c r="A82" s="178"/>
      <x:c r="B82" s="178"/>
      <x:c r="C82" s="178"/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 spans="1:26" ht="15.75" customHeight="1" x14ac:dyDescent="0.25">
      <x:c r="A83" s="178"/>
      <x:c r="B83" s="178"/>
      <x:c r="C83" s="178"/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 spans="1:26" ht="15.75" customHeight="1" x14ac:dyDescent="0.25">
      <x:c r="A84" s="178"/>
      <x:c r="B84" s="178"/>
      <x:c r="C84" s="178"/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 spans="1:26" ht="15.75" customHeight="1" x14ac:dyDescent="0.25">
      <x:c r="A85" s="178"/>
      <x:c r="B85" s="178"/>
      <x:c r="C85" s="178"/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 spans="1:26" ht="15.75" customHeight="1" x14ac:dyDescent="0.25">
      <x:c r="A86" s="178"/>
      <x:c r="B86" s="178"/>
      <x:c r="C86" s="178"/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 spans="1:26" ht="15.75" customHeight="1" x14ac:dyDescent="0.25">
      <x:c r="A87" s="178"/>
      <x:c r="B87" s="178"/>
      <x:c r="C87" s="178"/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 spans="1:26" ht="15.75" customHeight="1" x14ac:dyDescent="0.25">
      <x:c r="A88" s="178"/>
      <x:c r="B88" s="178"/>
      <x:c r="C88" s="178"/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 spans="1:26" ht="15.75" customHeight="1" x14ac:dyDescent="0.25">
      <x:c r="A89" s="178"/>
      <x:c r="B89" s="178"/>
      <x:c r="C89" s="178"/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 spans="1:26" ht="15.75" customHeight="1" x14ac:dyDescent="0.25">
      <x:c r="A90" s="178"/>
      <x:c r="B90" s="178"/>
      <x:c r="C90" s="178"/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 spans="1:26" ht="15.75" customHeight="1" x14ac:dyDescent="0.25">
      <x:c r="A91" s="178"/>
      <x:c r="B91" s="178"/>
      <x:c r="C91" s="178"/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 spans="1:26" ht="15.75" customHeight="1" x14ac:dyDescent="0.25">
      <x:c r="A92" s="178"/>
      <x:c r="B92" s="178"/>
      <x:c r="C92" s="178"/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 spans="1:26" ht="15.75" customHeight="1" x14ac:dyDescent="0.25">
      <x:c r="A93" s="178"/>
      <x:c r="B93" s="178"/>
      <x:c r="C93" s="178"/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 spans="1:26" ht="15.75" customHeight="1" x14ac:dyDescent="0.25">
      <x:c r="A94" s="178"/>
      <x:c r="B94" s="178"/>
      <x:c r="C94" s="178"/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 spans="1:26" ht="15.75" customHeight="1" x14ac:dyDescent="0.25">
      <x:c r="A95" s="178"/>
      <x:c r="B95" s="178"/>
      <x:c r="C95" s="178"/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 spans="1:26" ht="15.75" customHeight="1" x14ac:dyDescent="0.25">
      <x:c r="A96" s="178"/>
      <x:c r="B96" s="178"/>
      <x:c r="C96" s="178"/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 spans="1:26" ht="15.75" customHeight="1" x14ac:dyDescent="0.25">
      <x:c r="A97" s="178"/>
      <x:c r="B97" s="178"/>
      <x:c r="C97" s="178"/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 spans="1:26" ht="15.75" customHeight="1" x14ac:dyDescent="0.25">
      <x:c r="A98" s="178"/>
      <x:c r="B98" s="178"/>
      <x:c r="C98" s="178"/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 spans="1:26" ht="15.75" customHeight="1" x14ac:dyDescent="0.25">
      <x:c r="A99" s="178"/>
      <x:c r="B99" s="178"/>
      <x:c r="C99" s="178"/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 spans="1:26" ht="15.75" customHeight="1" x14ac:dyDescent="0.25">
      <x:c r="A100" s="178"/>
      <x:c r="B100" s="178"/>
      <x:c r="C100" s="178"/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 spans="1:26" ht="15.75" customHeight="1" x14ac:dyDescent="0.25">
      <x:c r="A101" s="178"/>
      <x:c r="B101" s="178"/>
      <x:c r="C101" s="178"/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 spans="1:26" ht="15.75" customHeight="1" x14ac:dyDescent="0.25">
      <x:c r="A102" s="178"/>
      <x:c r="B102" s="178"/>
      <x:c r="C102" s="178"/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 spans="1:26" ht="15.75" customHeight="1" x14ac:dyDescent="0.25">
      <x:c r="A103" s="178"/>
      <x:c r="B103" s="178"/>
      <x:c r="C103" s="178"/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 spans="1:26" ht="15.75" customHeight="1" x14ac:dyDescent="0.25">
      <x:c r="A104" s="178"/>
      <x:c r="B104" s="178"/>
      <x:c r="C104" s="178"/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 spans="1:26" ht="15.75" customHeight="1" x14ac:dyDescent="0.25">
      <x:c r="A105" s="178"/>
      <x:c r="B105" s="178"/>
      <x:c r="C105" s="178"/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 spans="1:26" ht="15.75" customHeight="1" x14ac:dyDescent="0.25">
      <x:c r="A106" s="178"/>
      <x:c r="B106" s="178"/>
      <x:c r="C106" s="178"/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 spans="1:26" ht="15.75" customHeight="1" x14ac:dyDescent="0.25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 spans="1:26" ht="15.75" customHeight="1" x14ac:dyDescent="0.25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 spans="1:26" ht="15.75" customHeight="1" x14ac:dyDescent="0.25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 spans="1:26" ht="15.75" customHeight="1" x14ac:dyDescent="0.25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 spans="1:26" ht="15.75" customHeight="1" x14ac:dyDescent="0.25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 spans="1:26" ht="15.75" customHeight="1" x14ac:dyDescent="0.25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 spans="1:26" ht="15.75" customHeight="1" x14ac:dyDescent="0.25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 spans="1:26" ht="15.75" customHeight="1" x14ac:dyDescent="0.25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 spans="1:26" ht="15.75" customHeight="1" x14ac:dyDescent="0.25">
      <x:c r="A115" s="178"/>
      <x:c r="B115" s="178"/>
      <x:c r="C115" s="178"/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 spans="1:26" ht="15.75" customHeight="1" x14ac:dyDescent="0.25">
      <x:c r="A116" s="178"/>
      <x:c r="B116" s="178"/>
      <x:c r="C116" s="178"/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 spans="1:26" ht="15.75" customHeight="1" x14ac:dyDescent="0.25">
      <x:c r="A117" s="178"/>
      <x:c r="B117" s="178"/>
      <x:c r="C117" s="178"/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 spans="1:26" ht="15.75" customHeight="1" x14ac:dyDescent="0.25">
      <x:c r="A118" s="178"/>
      <x:c r="B118" s="178"/>
      <x:c r="C118" s="178"/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 spans="1:26" ht="15.75" customHeight="1" x14ac:dyDescent="0.25">
      <x:c r="A119" s="178"/>
      <x:c r="B119" s="178"/>
      <x:c r="C119" s="178"/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 spans="1:26" ht="15.75" customHeight="1" x14ac:dyDescent="0.25">
      <x:c r="A120" s="178"/>
      <x:c r="B120" s="178"/>
      <x:c r="C120" s="178"/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 spans="1:26" ht="15.75" customHeight="1" x14ac:dyDescent="0.25">
      <x:c r="A121" s="178"/>
      <x:c r="B121" s="178"/>
      <x:c r="C121" s="178"/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 spans="1:26" ht="15.75" customHeight="1" x14ac:dyDescent="0.25">
      <x:c r="A122" s="178"/>
      <x:c r="B122" s="178"/>
      <x:c r="C122" s="178"/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 spans="1:26" ht="15.75" customHeight="1" x14ac:dyDescent="0.25">
      <x:c r="A123" s="178"/>
      <x:c r="B123" s="178"/>
      <x:c r="C123" s="178"/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 spans="1:26" ht="15.75" customHeight="1" x14ac:dyDescent="0.25">
      <x:c r="A124" s="178"/>
      <x:c r="B124" s="178"/>
      <x:c r="C124" s="178"/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 spans="1:26" ht="15.75" customHeight="1" x14ac:dyDescent="0.25">
      <x:c r="A125" s="178"/>
      <x:c r="B125" s="178"/>
      <x:c r="C125" s="178"/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 spans="1:26" ht="15.75" customHeight="1" x14ac:dyDescent="0.25">
      <x:c r="A126" s="178"/>
      <x:c r="B126" s="178"/>
      <x:c r="C126" s="178"/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 spans="1:26" ht="15.75" customHeight="1" x14ac:dyDescent="0.25">
      <x:c r="A127" s="178"/>
      <x:c r="B127" s="178"/>
      <x:c r="C127" s="178"/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 spans="1:26" ht="15.75" customHeight="1" x14ac:dyDescent="0.25">
      <x:c r="A128" s="178"/>
      <x:c r="B128" s="178"/>
      <x:c r="C128" s="178"/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 spans="1:26" ht="15.75" customHeight="1" x14ac:dyDescent="0.25">
      <x:c r="A129" s="178"/>
      <x:c r="B129" s="178"/>
      <x:c r="C129" s="178"/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 spans="1:26" ht="15.75" customHeight="1" x14ac:dyDescent="0.25">
      <x:c r="A130" s="178"/>
      <x:c r="B130" s="178"/>
      <x:c r="C130" s="178"/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 spans="1:26" ht="15.75" customHeight="1" x14ac:dyDescent="0.25">
      <x:c r="A131" s="178"/>
      <x:c r="B131" s="178"/>
      <x:c r="C131" s="178"/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 spans="1:26" ht="15.75" customHeight="1" x14ac:dyDescent="0.25">
      <x:c r="A132" s="178"/>
      <x:c r="B132" s="178"/>
      <x:c r="C132" s="178"/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 spans="1:26" ht="15.75" customHeight="1" x14ac:dyDescent="0.25">
      <x:c r="A133" s="178"/>
      <x:c r="B133" s="178"/>
      <x:c r="C133" s="178"/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 spans="1:26" ht="15.75" customHeight="1" x14ac:dyDescent="0.25">
      <x:c r="A134" s="178"/>
      <x:c r="B134" s="178"/>
      <x:c r="C134" s="178"/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 spans="1:26" ht="15.75" customHeight="1" x14ac:dyDescent="0.25">
      <x:c r="A135" s="178"/>
      <x:c r="B135" s="178"/>
      <x:c r="C135" s="178"/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 spans="1:26" ht="15.75" customHeight="1" x14ac:dyDescent="0.25">
      <x:c r="A136" s="178"/>
      <x:c r="B136" s="178"/>
      <x:c r="C136" s="178"/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 spans="1:26" ht="15.75" customHeight="1" x14ac:dyDescent="0.25">
      <x:c r="A137" s="178"/>
      <x:c r="B137" s="178"/>
      <x:c r="C137" s="178"/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 spans="1:26" ht="15.75" customHeight="1" x14ac:dyDescent="0.25">
      <x:c r="A138" s="178"/>
      <x:c r="B138" s="178"/>
      <x:c r="C138" s="178"/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 spans="1:26" ht="15.75" customHeight="1" x14ac:dyDescent="0.25">
      <x:c r="A139" s="178"/>
      <x:c r="B139" s="178"/>
      <x:c r="C139" s="178"/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 spans="1:26" ht="15.75" customHeight="1" x14ac:dyDescent="0.25">
      <x:c r="A140" s="178"/>
      <x:c r="B140" s="178"/>
      <x:c r="C140" s="178"/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 spans="1:26" ht="15.75" customHeight="1" x14ac:dyDescent="0.25">
      <x:c r="A141" s="178"/>
      <x:c r="B141" s="178"/>
      <x:c r="C141" s="178"/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 spans="1:26" ht="15.75" customHeight="1" x14ac:dyDescent="0.25">
      <x:c r="A142" s="178"/>
      <x:c r="B142" s="178"/>
      <x:c r="C142" s="178"/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 spans="1:26" ht="15.75" customHeight="1" x14ac:dyDescent="0.25">
      <x:c r="A143" s="178"/>
      <x:c r="B143" s="178"/>
      <x:c r="C143" s="178"/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 spans="1:26" ht="15.75" customHeight="1" x14ac:dyDescent="0.25">
      <x:c r="A144" s="178"/>
      <x:c r="B144" s="178"/>
      <x:c r="C144" s="178"/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 spans="1:26" ht="15.75" customHeight="1" x14ac:dyDescent="0.25">
      <x:c r="A145" s="178"/>
      <x:c r="B145" s="178"/>
      <x:c r="C145" s="178"/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 spans="1:26" ht="15.75" customHeight="1" x14ac:dyDescent="0.25">
      <x:c r="A146" s="178"/>
      <x:c r="B146" s="178"/>
      <x:c r="C146" s="178"/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 spans="1:26" ht="15.75" customHeight="1" x14ac:dyDescent="0.25">
      <x:c r="A147" s="178"/>
      <x:c r="B147" s="178"/>
      <x:c r="C147" s="178"/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 spans="1:26" ht="15.75" customHeight="1" x14ac:dyDescent="0.25">
      <x:c r="A148" s="178"/>
      <x:c r="B148" s="178"/>
      <x:c r="C148" s="178"/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 spans="1:26" ht="15.75" customHeight="1" x14ac:dyDescent="0.25">
      <x:c r="A149" s="178"/>
      <x:c r="B149" s="178"/>
      <x:c r="C149" s="178"/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 spans="1:26" ht="15.75" customHeight="1" x14ac:dyDescent="0.25">
      <x:c r="A150" s="178"/>
      <x:c r="B150" s="178"/>
      <x:c r="C150" s="178"/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 spans="1:26" ht="15.75" customHeight="1" x14ac:dyDescent="0.25">
      <x:c r="A151" s="178"/>
      <x:c r="B151" s="178"/>
      <x:c r="C151" s="178"/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 spans="1:26" ht="15.75" customHeight="1" x14ac:dyDescent="0.25">
      <x:c r="A152" s="178"/>
      <x:c r="B152" s="178"/>
      <x:c r="C152" s="178"/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 spans="1:26" ht="15.75" customHeight="1" x14ac:dyDescent="0.25">
      <x:c r="A153" s="178"/>
      <x:c r="B153" s="178"/>
      <x:c r="C153" s="178"/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 spans="1:26" ht="15.75" customHeight="1" x14ac:dyDescent="0.25">
      <x:c r="A154" s="178"/>
      <x:c r="B154" s="178"/>
      <x:c r="C154" s="178"/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 spans="1:26" ht="15.75" customHeight="1" x14ac:dyDescent="0.25">
      <x:c r="A155" s="178"/>
      <x:c r="B155" s="178"/>
      <x:c r="C155" s="178"/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 spans="1:26" ht="15.75" customHeight="1" x14ac:dyDescent="0.25">
      <x:c r="A156" s="178"/>
      <x:c r="B156" s="178"/>
      <x:c r="C156" s="178"/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 spans="1:26" ht="15.75" customHeight="1" x14ac:dyDescent="0.25">
      <x:c r="A157" s="178"/>
      <x:c r="B157" s="178"/>
      <x:c r="C157" s="178"/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 spans="1:26" ht="15.75" customHeight="1" x14ac:dyDescent="0.25">
      <x:c r="A158" s="178"/>
      <x:c r="B158" s="178"/>
      <x:c r="C158" s="178"/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 spans="1:26" ht="15.75" customHeight="1" x14ac:dyDescent="0.25">
      <x:c r="A159" s="178"/>
      <x:c r="B159" s="178"/>
      <x:c r="C159" s="178"/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 spans="1:26" ht="15.75" customHeight="1" x14ac:dyDescent="0.25">
      <x:c r="A160" s="178"/>
      <x:c r="B160" s="178"/>
      <x:c r="C160" s="178"/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 spans="1:26" ht="15.75" customHeight="1" x14ac:dyDescent="0.25">
      <x:c r="A161" s="178"/>
      <x:c r="B161" s="178"/>
      <x:c r="C161" s="178"/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 spans="1:26" ht="15.75" customHeight="1" x14ac:dyDescent="0.25">
      <x:c r="A162" s="178"/>
      <x:c r="B162" s="178"/>
      <x:c r="C162" s="178"/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 spans="1:26" ht="15.75" customHeight="1" x14ac:dyDescent="0.25">
      <x:c r="A163" s="178"/>
      <x:c r="B163" s="178"/>
      <x:c r="C163" s="178"/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 spans="1:26" ht="15.75" customHeight="1" x14ac:dyDescent="0.25">
      <x:c r="A164" s="178"/>
      <x:c r="B164" s="178"/>
      <x:c r="C164" s="178"/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 spans="1:26" ht="15.75" customHeight="1" x14ac:dyDescent="0.25">
      <x:c r="A165" s="178"/>
      <x:c r="B165" s="178"/>
      <x:c r="C165" s="178"/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 spans="1:26" ht="15.75" customHeight="1" x14ac:dyDescent="0.25">
      <x:c r="A166" s="178"/>
      <x:c r="B166" s="178"/>
      <x:c r="C166" s="178"/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 spans="1:26" ht="15.75" customHeight="1" x14ac:dyDescent="0.25">
      <x:c r="A167" s="178"/>
      <x:c r="B167" s="178"/>
      <x:c r="C167" s="178"/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 spans="1:26" ht="15.75" customHeight="1" x14ac:dyDescent="0.25">
      <x:c r="A168" s="178"/>
      <x:c r="B168" s="178"/>
      <x:c r="C168" s="178"/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 spans="1:26" ht="15.75" customHeight="1" x14ac:dyDescent="0.25">
      <x:c r="A169" s="178"/>
      <x:c r="B169" s="178"/>
      <x:c r="C169" s="178"/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 spans="1:26" ht="15.75" customHeight="1" x14ac:dyDescent="0.25">
      <x:c r="A170" s="178"/>
      <x:c r="B170" s="178"/>
      <x:c r="C170" s="178"/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 spans="1:26" ht="15.75" customHeight="1" x14ac:dyDescent="0.25">
      <x:c r="A171" s="178"/>
      <x:c r="B171" s="178"/>
      <x:c r="C171" s="178"/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 spans="1:26" ht="15.75" customHeight="1" x14ac:dyDescent="0.25">
      <x:c r="A172" s="178"/>
      <x:c r="B172" s="178"/>
      <x:c r="C172" s="178"/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 spans="1:26" ht="15.75" customHeight="1" x14ac:dyDescent="0.25">
      <x:c r="A173" s="178"/>
      <x:c r="B173" s="178"/>
      <x:c r="C173" s="178"/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 spans="1:26" ht="15.75" customHeight="1" x14ac:dyDescent="0.25">
      <x:c r="A174" s="178"/>
      <x:c r="B174" s="178"/>
      <x:c r="C174" s="178"/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 spans="1:26" ht="15.75" customHeight="1" x14ac:dyDescent="0.25">
      <x:c r="A175" s="178"/>
      <x:c r="B175" s="178"/>
      <x:c r="C175" s="178"/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 spans="1:26" ht="15.75" customHeight="1" x14ac:dyDescent="0.25">
      <x:c r="A176" s="178"/>
      <x:c r="B176" s="178"/>
      <x:c r="C176" s="178"/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 spans="1:26" ht="15.75" customHeight="1" x14ac:dyDescent="0.25">
      <x:c r="A177" s="178"/>
      <x:c r="B177" s="178"/>
      <x:c r="C177" s="178"/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 spans="1:26" ht="15.75" customHeight="1" x14ac:dyDescent="0.25">
      <x:c r="A178" s="178"/>
      <x:c r="B178" s="178"/>
      <x:c r="C178" s="178"/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 spans="1:26" ht="15.75" customHeight="1" x14ac:dyDescent="0.25">
      <x:c r="A179" s="178"/>
      <x:c r="B179" s="178"/>
      <x:c r="C179" s="178"/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 spans="1:26" ht="15.75" customHeight="1" x14ac:dyDescent="0.25">
      <x:c r="A180" s="178"/>
      <x:c r="B180" s="178"/>
      <x:c r="C180" s="178"/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 spans="1:26" ht="15.75" customHeight="1" x14ac:dyDescent="0.25">
      <x:c r="A181" s="178"/>
      <x:c r="B181" s="178"/>
      <x:c r="C181" s="178"/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 spans="1:26" ht="15.75" customHeight="1" x14ac:dyDescent="0.25">
      <x:c r="A182" s="178"/>
      <x:c r="B182" s="178"/>
      <x:c r="C182" s="178"/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 spans="1:26" ht="15.75" customHeight="1" x14ac:dyDescent="0.25">
      <x:c r="A183" s="178"/>
      <x:c r="B183" s="178"/>
      <x:c r="C183" s="178"/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 spans="1:26" ht="15.75" customHeight="1" x14ac:dyDescent="0.25">
      <x:c r="A184" s="178"/>
      <x:c r="B184" s="178"/>
      <x:c r="C184" s="178"/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 spans="1:26" ht="15.75" customHeight="1" x14ac:dyDescent="0.25">
      <x:c r="A185" s="178"/>
      <x:c r="B185" s="178"/>
      <x:c r="C185" s="178"/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 spans="1:26" ht="15.75" customHeight="1" x14ac:dyDescent="0.25">
      <x:c r="A186" s="178"/>
      <x:c r="B186" s="178"/>
      <x:c r="C186" s="178"/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 spans="1:26" ht="15.75" customHeight="1" x14ac:dyDescent="0.25">
      <x:c r="A187" s="178"/>
      <x:c r="B187" s="178"/>
      <x:c r="C187" s="178"/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 spans="1:26" ht="15.75" customHeight="1" x14ac:dyDescent="0.25">
      <x:c r="A188" s="178"/>
      <x:c r="B188" s="178"/>
      <x:c r="C188" s="178"/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 spans="1:26" ht="15.75" customHeight="1" x14ac:dyDescent="0.25">
      <x:c r="A189" s="178"/>
      <x:c r="B189" s="178"/>
      <x:c r="C189" s="178"/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 spans="1:26" ht="15.75" customHeight="1" x14ac:dyDescent="0.25">
      <x:c r="A190" s="178"/>
      <x:c r="B190" s="178"/>
      <x:c r="C190" s="178"/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 spans="1:26" ht="15.75" customHeight="1" x14ac:dyDescent="0.25">
      <x:c r="A191" s="178"/>
      <x:c r="B191" s="178"/>
      <x:c r="C191" s="178"/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 spans="1:26" ht="15.75" customHeight="1" x14ac:dyDescent="0.25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 spans="1:26" ht="15.75" customHeight="1" x14ac:dyDescent="0.25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 spans="1:26" ht="15.75" customHeight="1" x14ac:dyDescent="0.25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 spans="1:26" ht="15.75" customHeight="1" x14ac:dyDescent="0.2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 spans="1:26" ht="15.75" customHeight="1" x14ac:dyDescent="0.25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 spans="1:26" ht="15.75" customHeight="1" x14ac:dyDescent="0.25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 spans="1:26" ht="15.75" customHeight="1" x14ac:dyDescent="0.25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 spans="1:26" ht="15.75" customHeight="1" x14ac:dyDescent="0.25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 spans="1:26" ht="15.75" customHeight="1" x14ac:dyDescent="0.25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 spans="1:26" ht="15.75" customHeight="1" x14ac:dyDescent="0.25">
      <x:c r="A201" s="178"/>
      <x:c r="B201" s="178"/>
      <x:c r="C201" s="178"/>
      <x:c r="D201" s="178"/>
      <x:c r="E201" s="178"/>
      <x:c r="F201" s="178"/>
      <x:c r="G201" s="178"/>
      <x:c r="H201" s="178"/>
      <x:c r="I201" s="178"/>
      <x:c r="J201" s="178"/>
      <x:c r="K201" s="178"/>
      <x:c r="L201" s="178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 spans="1:26" ht="15.75" customHeight="1" x14ac:dyDescent="0.25">
      <x:c r="A202" s="178"/>
      <x:c r="B202" s="178"/>
      <x:c r="C202" s="178"/>
      <x:c r="D202" s="178"/>
      <x:c r="E202" s="178"/>
      <x:c r="F202" s="178"/>
      <x:c r="G202" s="178"/>
      <x:c r="H202" s="178"/>
      <x:c r="I202" s="178"/>
      <x:c r="J202" s="178"/>
      <x:c r="K202" s="178"/>
      <x:c r="L202" s="178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 spans="1:26" ht="15.75" customHeight="1" x14ac:dyDescent="0.25">
      <x:c r="A203" s="178"/>
      <x:c r="B203" s="178"/>
      <x:c r="C203" s="178"/>
      <x:c r="D203" s="178"/>
      <x:c r="E203" s="178"/>
      <x:c r="F203" s="178"/>
      <x:c r="G203" s="178"/>
      <x:c r="H203" s="178"/>
      <x:c r="I203" s="178"/>
      <x:c r="J203" s="178"/>
      <x:c r="K203" s="178"/>
      <x:c r="L203" s="178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 spans="1:26" ht="15.75" customHeight="1" x14ac:dyDescent="0.25">
      <x:c r="A204" s="178"/>
      <x:c r="B204" s="178"/>
      <x:c r="C204" s="178"/>
      <x:c r="D204" s="178"/>
      <x:c r="E204" s="178"/>
      <x:c r="F204" s="178"/>
      <x:c r="G204" s="178"/>
      <x:c r="H204" s="178"/>
      <x:c r="I204" s="178"/>
      <x:c r="J204" s="178"/>
      <x:c r="K204" s="178"/>
      <x:c r="L204" s="178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 spans="1:26" ht="15.75" customHeight="1" x14ac:dyDescent="0.25">
      <x:c r="A205" s="178"/>
      <x:c r="B205" s="178"/>
      <x:c r="C205" s="178"/>
      <x:c r="D205" s="178"/>
      <x:c r="E205" s="178"/>
      <x:c r="F205" s="178"/>
      <x:c r="G205" s="178"/>
      <x:c r="H205" s="178"/>
      <x:c r="I205" s="178"/>
      <x:c r="J205" s="178"/>
      <x:c r="K205" s="178"/>
      <x:c r="L205" s="178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 spans="1:26" ht="15.75" customHeight="1" x14ac:dyDescent="0.25">
      <x:c r="A206" s="178"/>
      <x:c r="B206" s="178"/>
      <x:c r="C206" s="178"/>
      <x:c r="D206" s="178"/>
      <x:c r="E206" s="178"/>
      <x:c r="F206" s="178"/>
      <x:c r="G206" s="178"/>
      <x:c r="H206" s="178"/>
      <x:c r="I206" s="178"/>
      <x:c r="J206" s="178"/>
      <x:c r="K206" s="178"/>
      <x:c r="L206" s="178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 spans="1:26" ht="15.75" customHeight="1" x14ac:dyDescent="0.25">
      <x:c r="A207" s="178"/>
      <x:c r="B207" s="178"/>
      <x:c r="C207" s="178"/>
      <x:c r="D207" s="178"/>
      <x:c r="E207" s="178"/>
      <x:c r="F207" s="178"/>
      <x:c r="G207" s="178"/>
      <x:c r="H207" s="178"/>
      <x:c r="I207" s="178"/>
      <x:c r="J207" s="178"/>
      <x:c r="K207" s="178"/>
      <x:c r="L207" s="178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 spans="1:26" ht="15.75" customHeight="1" x14ac:dyDescent="0.25">
      <x:c r="A208" s="178"/>
      <x:c r="B208" s="178"/>
      <x:c r="C208" s="178"/>
      <x:c r="D208" s="178"/>
      <x:c r="E208" s="178"/>
      <x:c r="F208" s="178"/>
      <x:c r="G208" s="178"/>
      <x:c r="H208" s="178"/>
      <x:c r="I208" s="178"/>
      <x:c r="J208" s="178"/>
      <x:c r="K208" s="178"/>
      <x:c r="L208" s="178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 spans="1:26" ht="15.75" customHeight="1" x14ac:dyDescent="0.25">
      <x:c r="A209" s="178"/>
      <x:c r="B209" s="178"/>
      <x:c r="C209" s="178"/>
      <x:c r="D209" s="178"/>
      <x:c r="E209" s="178"/>
      <x:c r="F209" s="178"/>
      <x:c r="G209" s="178"/>
      <x:c r="H209" s="178"/>
      <x:c r="I209" s="178"/>
      <x:c r="J209" s="178"/>
      <x:c r="K209" s="178"/>
      <x:c r="L209" s="178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 spans="1:26" ht="15.75" customHeight="1" x14ac:dyDescent="0.25">
      <x:c r="A210" s="178"/>
      <x:c r="B210" s="178"/>
      <x:c r="C210" s="178"/>
      <x:c r="D210" s="178"/>
      <x:c r="E210" s="178"/>
      <x:c r="F210" s="178"/>
      <x:c r="G210" s="178"/>
      <x:c r="H210" s="178"/>
      <x:c r="I210" s="178"/>
      <x:c r="J210" s="178"/>
      <x:c r="K210" s="178"/>
      <x:c r="L210" s="178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 spans="1:26" ht="15.75" customHeight="1" x14ac:dyDescent="0.25">
      <x:c r="A211" s="178"/>
      <x:c r="B211" s="178"/>
      <x:c r="C211" s="178"/>
      <x:c r="D211" s="178"/>
      <x:c r="E211" s="178"/>
      <x:c r="F211" s="178"/>
      <x:c r="G211" s="178"/>
      <x:c r="H211" s="178"/>
      <x:c r="I211" s="178"/>
      <x:c r="J211" s="178"/>
      <x:c r="K211" s="178"/>
      <x:c r="L211" s="178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 spans="1:26" ht="15.75" customHeight="1" x14ac:dyDescent="0.25">
      <x:c r="A212" s="178"/>
      <x:c r="B212" s="178"/>
      <x:c r="C212" s="178"/>
      <x:c r="D212" s="178"/>
      <x:c r="E212" s="178"/>
      <x:c r="F212" s="178"/>
      <x:c r="G212" s="178"/>
      <x:c r="H212" s="178"/>
      <x:c r="I212" s="178"/>
      <x:c r="J212" s="178"/>
      <x:c r="K212" s="178"/>
      <x:c r="L212" s="178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 spans="1:26" ht="15.75" customHeight="1" x14ac:dyDescent="0.25">
      <x:c r="A213" s="178"/>
      <x:c r="B213" s="178"/>
      <x:c r="C213" s="178"/>
      <x:c r="D213" s="178"/>
      <x:c r="E213" s="178"/>
      <x:c r="F213" s="178"/>
      <x:c r="G213" s="178"/>
      <x:c r="H213" s="178"/>
      <x:c r="I213" s="178"/>
      <x:c r="J213" s="178"/>
      <x:c r="K213" s="178"/>
      <x:c r="L213" s="178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 spans="1:26" ht="15.75" customHeight="1" x14ac:dyDescent="0.25">
      <x:c r="A214" s="178"/>
      <x:c r="B214" s="178"/>
      <x:c r="C214" s="178"/>
      <x:c r="D214" s="178"/>
      <x:c r="E214" s="178"/>
      <x:c r="F214" s="178"/>
      <x:c r="G214" s="178"/>
      <x:c r="H214" s="178"/>
      <x:c r="I214" s="178"/>
      <x:c r="J214" s="178"/>
      <x:c r="K214" s="178"/>
      <x:c r="L214" s="178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 spans="1:26" ht="15.75" customHeight="1" x14ac:dyDescent="0.25">
      <x:c r="A215" s="178"/>
      <x:c r="B215" s="178"/>
      <x:c r="C215" s="178"/>
      <x:c r="D215" s="178"/>
      <x:c r="E215" s="178"/>
      <x:c r="F215" s="178"/>
      <x:c r="G215" s="178"/>
      <x:c r="H215" s="178"/>
      <x:c r="I215" s="178"/>
      <x:c r="J215" s="178"/>
      <x:c r="K215" s="178"/>
      <x:c r="L215" s="178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 spans="1:26" ht="15.75" customHeight="1" x14ac:dyDescent="0.25">
      <x:c r="A216" s="178"/>
      <x:c r="B216" s="178"/>
      <x:c r="C216" s="178"/>
      <x:c r="D216" s="178"/>
      <x:c r="E216" s="178"/>
      <x:c r="F216" s="178"/>
      <x:c r="G216" s="178"/>
      <x:c r="H216" s="178"/>
      <x:c r="I216" s="178"/>
      <x:c r="J216" s="178"/>
      <x:c r="K216" s="178"/>
      <x:c r="L216" s="178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 spans="1:26" ht="15.75" customHeight="1" x14ac:dyDescent="0.25">
      <x:c r="A217" s="178"/>
      <x:c r="B217" s="178"/>
      <x:c r="C217" s="178"/>
      <x:c r="D217" s="178"/>
      <x:c r="E217" s="178"/>
      <x:c r="F217" s="178"/>
      <x:c r="G217" s="178"/>
      <x:c r="H217" s="178"/>
      <x:c r="I217" s="178"/>
      <x:c r="J217" s="178"/>
      <x:c r="K217" s="178"/>
      <x:c r="L217" s="178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 spans="1:26" ht="15.75" customHeight="1" x14ac:dyDescent="0.25">
      <x:c r="A218" s="178"/>
      <x:c r="B218" s="178"/>
      <x:c r="C218" s="178"/>
      <x:c r="D218" s="178"/>
      <x:c r="E218" s="178"/>
      <x:c r="F218" s="178"/>
      <x:c r="G218" s="178"/>
      <x:c r="H218" s="178"/>
      <x:c r="I218" s="178"/>
      <x:c r="J218" s="178"/>
      <x:c r="K218" s="178"/>
      <x:c r="L218" s="178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 spans="1:26" ht="15.75" customHeight="1" x14ac:dyDescent="0.25">
      <x:c r="A219" s="178"/>
      <x:c r="B219" s="178"/>
      <x:c r="C219" s="178"/>
      <x:c r="D219" s="178"/>
      <x:c r="E219" s="178"/>
      <x:c r="F219" s="178"/>
      <x:c r="G219" s="178"/>
      <x:c r="H219" s="178"/>
      <x:c r="I219" s="178"/>
      <x:c r="J219" s="178"/>
      <x:c r="K219" s="178"/>
      <x:c r="L219" s="178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 spans="1:26" ht="15.75" customHeight="1" x14ac:dyDescent="0.25">
      <x:c r="A220" s="178"/>
      <x:c r="B220" s="178"/>
      <x:c r="C220" s="178"/>
      <x:c r="D220" s="178"/>
      <x:c r="E220" s="178"/>
      <x:c r="F220" s="178"/>
      <x:c r="G220" s="178"/>
      <x:c r="H220" s="178"/>
      <x:c r="I220" s="178"/>
      <x:c r="J220" s="178"/>
      <x:c r="K220" s="178"/>
      <x:c r="L220" s="178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 spans="1:26" ht="15.75" customHeight="1" x14ac:dyDescent="0.25">
      <x:c r="A221" s="178"/>
      <x:c r="B221" s="178"/>
      <x:c r="C221" s="178"/>
      <x:c r="D221" s="178"/>
      <x:c r="E221" s="178"/>
      <x:c r="F221" s="178"/>
      <x:c r="G221" s="178"/>
      <x:c r="H221" s="178"/>
      <x:c r="I221" s="178"/>
      <x:c r="J221" s="178"/>
      <x:c r="K221" s="178"/>
      <x:c r="L221" s="178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 spans="1:26" ht="15.75" customHeight="1" x14ac:dyDescent="0.25">
      <x:c r="A222" s="178"/>
      <x:c r="B222" s="178"/>
      <x:c r="C222" s="178"/>
      <x:c r="D222" s="178"/>
      <x:c r="E222" s="178"/>
      <x:c r="F222" s="178"/>
      <x:c r="G222" s="178"/>
      <x:c r="H222" s="178"/>
      <x:c r="I222" s="178"/>
      <x:c r="J222" s="178"/>
      <x:c r="K222" s="178"/>
      <x:c r="L222" s="178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 spans="1:26" ht="15.75" customHeight="1" x14ac:dyDescent="0.25">
      <x:c r="A223" s="178"/>
      <x:c r="B223" s="178"/>
      <x:c r="C223" s="178"/>
      <x:c r="D223" s="178"/>
      <x:c r="E223" s="178"/>
      <x:c r="F223" s="178"/>
      <x:c r="G223" s="178"/>
      <x:c r="H223" s="178"/>
      <x:c r="I223" s="178"/>
      <x:c r="J223" s="178"/>
      <x:c r="K223" s="178"/>
      <x:c r="L223" s="178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 spans="1:26" ht="15.75" customHeight="1" x14ac:dyDescent="0.25">
      <x:c r="A224" s="178"/>
      <x:c r="B224" s="178"/>
      <x:c r="C224" s="178"/>
      <x:c r="D224" s="178"/>
      <x:c r="E224" s="178"/>
      <x:c r="F224" s="178"/>
      <x:c r="G224" s="178"/>
      <x:c r="H224" s="178"/>
      <x:c r="I224" s="178"/>
      <x:c r="J224" s="178"/>
      <x:c r="K224" s="178"/>
      <x:c r="L224" s="178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 spans="1:26" ht="15.75" customHeight="1" x14ac:dyDescent="0.25">
      <x:c r="A225" s="178"/>
      <x:c r="B225" s="178"/>
      <x:c r="C225" s="178"/>
      <x:c r="D225" s="178"/>
      <x:c r="E225" s="178"/>
      <x:c r="F225" s="178"/>
      <x:c r="G225" s="178"/>
      <x:c r="H225" s="178"/>
      <x:c r="I225" s="178"/>
      <x:c r="J225" s="178"/>
      <x:c r="K225" s="178"/>
      <x:c r="L225" s="178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 spans="1:26" ht="15.75" customHeight="1" x14ac:dyDescent="0.25">
      <x:c r="A226" s="178"/>
      <x:c r="B226" s="178"/>
      <x:c r="C226" s="178"/>
      <x:c r="D226" s="178"/>
      <x:c r="E226" s="178"/>
      <x:c r="F226" s="178"/>
      <x:c r="G226" s="178"/>
      <x:c r="H226" s="178"/>
      <x:c r="I226" s="178"/>
      <x:c r="J226" s="178"/>
      <x:c r="K226" s="178"/>
      <x:c r="L226" s="178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 spans="1:26" ht="15.75" customHeight="1" x14ac:dyDescent="0.25">
      <x:c r="A227" s="178"/>
      <x:c r="B227" s="178"/>
      <x:c r="C227" s="178"/>
      <x:c r="D227" s="178"/>
      <x:c r="E227" s="178"/>
      <x:c r="F227" s="178"/>
      <x:c r="G227" s="178"/>
      <x:c r="H227" s="178"/>
      <x:c r="I227" s="178"/>
      <x:c r="J227" s="178"/>
      <x:c r="K227" s="178"/>
      <x:c r="L227" s="178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 spans="1:26" ht="15.75" customHeight="1" x14ac:dyDescent="0.25">
      <x:c r="A228" s="178"/>
      <x:c r="B228" s="178"/>
      <x:c r="C228" s="178"/>
      <x:c r="D228" s="178"/>
      <x:c r="E228" s="178"/>
      <x:c r="F228" s="178"/>
      <x:c r="G228" s="178"/>
      <x:c r="H228" s="178"/>
      <x:c r="I228" s="178"/>
      <x:c r="J228" s="178"/>
      <x:c r="K228" s="178"/>
      <x:c r="L228" s="178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 spans="1:26" ht="15.75" customHeight="1" x14ac:dyDescent="0.25">
      <x:c r="A229" s="178"/>
      <x:c r="B229" s="178"/>
      <x:c r="C229" s="178"/>
      <x:c r="D229" s="178"/>
      <x:c r="E229" s="178"/>
      <x:c r="F229" s="178"/>
      <x:c r="G229" s="178"/>
      <x:c r="H229" s="178"/>
      <x:c r="I229" s="178"/>
      <x:c r="J229" s="178"/>
      <x:c r="K229" s="178"/>
      <x:c r="L229" s="178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 spans="1:26" ht="15.75" customHeight="1" x14ac:dyDescent="0.25">
      <x:c r="A230" s="178"/>
      <x:c r="B230" s="178"/>
      <x:c r="C230" s="178"/>
      <x:c r="D230" s="178"/>
      <x:c r="E230" s="178"/>
      <x:c r="F230" s="178"/>
      <x:c r="G230" s="178"/>
      <x:c r="H230" s="178"/>
      <x:c r="I230" s="178"/>
      <x:c r="J230" s="178"/>
      <x:c r="K230" s="178"/>
      <x:c r="L230" s="178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 spans="1:26" ht="15.75" customHeight="1" x14ac:dyDescent="0.25">
      <x:c r="A231" s="178"/>
      <x:c r="B231" s="178"/>
      <x:c r="C231" s="178"/>
      <x:c r="D231" s="178"/>
      <x:c r="E231" s="178"/>
      <x:c r="F231" s="178"/>
      <x:c r="G231" s="178"/>
      <x:c r="H231" s="178"/>
      <x:c r="I231" s="178"/>
      <x:c r="J231" s="178"/>
      <x:c r="K231" s="178"/>
      <x:c r="L231" s="178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 spans="1:26" ht="15.75" customHeight="1" x14ac:dyDescent="0.25">
      <x:c r="A232" s="178"/>
      <x:c r="B232" s="178"/>
      <x:c r="C232" s="178"/>
      <x:c r="D232" s="178"/>
      <x:c r="E232" s="178"/>
      <x:c r="F232" s="178"/>
      <x:c r="G232" s="178"/>
      <x:c r="H232" s="178"/>
      <x:c r="I232" s="178"/>
      <x:c r="J232" s="178"/>
      <x:c r="K232" s="178"/>
      <x:c r="L232" s="178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 spans="1:26" ht="15.75" customHeight="1" x14ac:dyDescent="0.25">
      <x:c r="A233" s="178"/>
      <x:c r="B233" s="178"/>
      <x:c r="C233" s="178"/>
      <x:c r="D233" s="178"/>
      <x:c r="E233" s="178"/>
      <x:c r="F233" s="178"/>
      <x:c r="G233" s="178"/>
      <x:c r="H233" s="178"/>
      <x:c r="I233" s="178"/>
      <x:c r="J233" s="178"/>
      <x:c r="K233" s="178"/>
      <x:c r="L233" s="178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 spans="1:26" ht="15.75" customHeight="1" x14ac:dyDescent="0.25">
      <x:c r="A234" s="178"/>
      <x:c r="B234" s="178"/>
      <x:c r="C234" s="178"/>
      <x:c r="D234" s="178"/>
      <x:c r="E234" s="178"/>
      <x:c r="F234" s="178"/>
      <x:c r="G234" s="178"/>
      <x:c r="H234" s="178"/>
      <x:c r="I234" s="178"/>
      <x:c r="J234" s="178"/>
      <x:c r="K234" s="178"/>
      <x:c r="L234" s="178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 spans="1:26" ht="15.75" customHeight="1" x14ac:dyDescent="0.25">
      <x:c r="A235" s="178"/>
      <x:c r="B235" s="178"/>
      <x:c r="C235" s="178"/>
      <x:c r="D235" s="178"/>
      <x:c r="E235" s="178"/>
      <x:c r="F235" s="178"/>
      <x:c r="G235" s="178"/>
      <x:c r="H235" s="178"/>
      <x:c r="I235" s="178"/>
      <x:c r="J235" s="178"/>
      <x:c r="K235" s="178"/>
      <x:c r="L235" s="178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 spans="1:26" ht="15.75" customHeight="1" x14ac:dyDescent="0.25">
      <x:c r="A236" s="178"/>
      <x:c r="B236" s="178"/>
      <x:c r="C236" s="178"/>
      <x:c r="D236" s="178"/>
      <x:c r="E236" s="178"/>
      <x:c r="F236" s="178"/>
      <x:c r="G236" s="178"/>
      <x:c r="H236" s="178"/>
      <x:c r="I236" s="178"/>
      <x:c r="J236" s="178"/>
      <x:c r="K236" s="178"/>
      <x:c r="L236" s="178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 spans="1:26" ht="15.75" customHeight="1" x14ac:dyDescent="0.25">
      <x:c r="A237" s="178"/>
      <x:c r="B237" s="178"/>
      <x:c r="C237" s="178"/>
      <x:c r="D237" s="178"/>
      <x:c r="E237" s="178"/>
      <x:c r="F237" s="178"/>
      <x:c r="G237" s="178"/>
      <x:c r="H237" s="178"/>
      <x:c r="I237" s="178"/>
      <x:c r="J237" s="178"/>
      <x:c r="K237" s="178"/>
      <x:c r="L237" s="178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 spans="1:26" ht="15.75" customHeight="1" x14ac:dyDescent="0.25">
      <x:c r="A238" s="178"/>
      <x:c r="B238" s="178"/>
      <x:c r="C238" s="178"/>
      <x:c r="D238" s="178"/>
      <x:c r="E238" s="178"/>
      <x:c r="F238" s="178"/>
      <x:c r="G238" s="178"/>
      <x:c r="H238" s="178"/>
      <x:c r="I238" s="178"/>
      <x:c r="J238" s="178"/>
      <x:c r="K238" s="178"/>
      <x:c r="L238" s="178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 spans="1:26" ht="15.75" customHeight="1" x14ac:dyDescent="0.25">
      <x:c r="A239" s="178"/>
      <x:c r="B239" s="178"/>
      <x:c r="C239" s="178"/>
      <x:c r="D239" s="178"/>
      <x:c r="E239" s="178"/>
      <x:c r="F239" s="178"/>
      <x:c r="G239" s="178"/>
      <x:c r="H239" s="178"/>
      <x:c r="I239" s="178"/>
      <x:c r="J239" s="178"/>
      <x:c r="K239" s="178"/>
      <x:c r="L239" s="178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 spans="1:26" ht="15.75" customHeight="1" x14ac:dyDescent="0.25">
      <x:c r="A240" s="178"/>
      <x:c r="B240" s="178"/>
      <x:c r="C240" s="178"/>
      <x:c r="D240" s="178"/>
      <x:c r="E240" s="178"/>
      <x:c r="F240" s="178"/>
      <x:c r="G240" s="178"/>
      <x:c r="H240" s="178"/>
      <x:c r="I240" s="178"/>
      <x:c r="J240" s="178"/>
      <x:c r="K240" s="178"/>
      <x:c r="L240" s="178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 spans="1:26" ht="15.75" customHeight="1" x14ac:dyDescent="0.25">
      <x:c r="A241" s="178"/>
      <x:c r="B241" s="178"/>
      <x:c r="C241" s="178"/>
      <x:c r="D241" s="178"/>
      <x:c r="E241" s="178"/>
      <x:c r="F241" s="178"/>
      <x:c r="G241" s="178"/>
      <x:c r="H241" s="178"/>
      <x:c r="I241" s="178"/>
      <x:c r="J241" s="178"/>
      <x:c r="K241" s="178"/>
      <x:c r="L241" s="178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 spans="1:26" ht="15.75" customHeight="1" x14ac:dyDescent="0.25">
      <x:c r="A242" s="178"/>
      <x:c r="B242" s="178"/>
      <x:c r="C242" s="178"/>
      <x:c r="D242" s="178"/>
      <x:c r="E242" s="178"/>
      <x:c r="F242" s="178"/>
      <x:c r="G242" s="178"/>
      <x:c r="H242" s="178"/>
      <x:c r="I242" s="178"/>
      <x:c r="J242" s="178"/>
      <x:c r="K242" s="178"/>
      <x:c r="L242" s="178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 spans="1:26" ht="15.75" customHeight="1" x14ac:dyDescent="0.25">
      <x:c r="A243" s="178"/>
      <x:c r="B243" s="178"/>
      <x:c r="C243" s="178"/>
      <x:c r="D243" s="178"/>
      <x:c r="E243" s="178"/>
      <x:c r="F243" s="178"/>
      <x:c r="G243" s="178"/>
      <x:c r="H243" s="178"/>
      <x:c r="I243" s="178"/>
      <x:c r="J243" s="178"/>
      <x:c r="K243" s="178"/>
      <x:c r="L243" s="178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 spans="1:26" ht="15.75" customHeight="1" x14ac:dyDescent="0.25">
      <x:c r="A244" s="178"/>
      <x:c r="B244" s="178"/>
      <x:c r="C244" s="178"/>
      <x:c r="D244" s="178"/>
      <x:c r="E244" s="178"/>
      <x:c r="F244" s="178"/>
      <x:c r="G244" s="178"/>
      <x:c r="H244" s="178"/>
      <x:c r="I244" s="178"/>
      <x:c r="J244" s="178"/>
      <x:c r="K244" s="178"/>
      <x:c r="L244" s="178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 spans="1:26" ht="15.75" customHeight="1" x14ac:dyDescent="0.25">
      <x:c r="A245" s="178"/>
      <x:c r="B245" s="178"/>
      <x:c r="C245" s="178"/>
      <x:c r="D245" s="178"/>
      <x:c r="E245" s="178"/>
      <x:c r="F245" s="178"/>
      <x:c r="G245" s="178"/>
      <x:c r="H245" s="178"/>
      <x:c r="I245" s="178"/>
      <x:c r="J245" s="178"/>
      <x:c r="K245" s="178"/>
      <x:c r="L245" s="178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 spans="1:26" ht="15.75" customHeight="1" x14ac:dyDescent="0.25">
      <x:c r="A246" s="178"/>
      <x:c r="B246" s="178"/>
      <x:c r="C246" s="178"/>
      <x:c r="D246" s="178"/>
      <x:c r="E246" s="178"/>
      <x:c r="F246" s="178"/>
      <x:c r="G246" s="178"/>
      <x:c r="H246" s="178"/>
      <x:c r="I246" s="178"/>
      <x:c r="J246" s="178"/>
      <x:c r="K246" s="178"/>
      <x:c r="L246" s="178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 spans="1:26" ht="15.75" customHeight="1" x14ac:dyDescent="0.25">
      <x:c r="A247" s="178"/>
      <x:c r="B247" s="178"/>
      <x:c r="C247" s="178"/>
      <x:c r="D247" s="178"/>
      <x:c r="E247" s="178"/>
      <x:c r="F247" s="178"/>
      <x:c r="G247" s="178"/>
      <x:c r="H247" s="178"/>
      <x:c r="I247" s="178"/>
      <x:c r="J247" s="178"/>
      <x:c r="K247" s="178"/>
      <x:c r="L247" s="178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 spans="1:26" ht="15.75" customHeight="1" x14ac:dyDescent="0.25">
      <x:c r="A248" s="178"/>
      <x:c r="B248" s="178"/>
      <x:c r="C248" s="178"/>
      <x:c r="D248" s="178"/>
      <x:c r="E248" s="178"/>
      <x:c r="F248" s="178"/>
      <x:c r="G248" s="178"/>
      <x:c r="H248" s="178"/>
      <x:c r="I248" s="178"/>
      <x:c r="J248" s="178"/>
      <x:c r="K248" s="178"/>
      <x:c r="L248" s="178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 spans="1:26" ht="15.75" customHeight="1" x14ac:dyDescent="0.25">
      <x:c r="A249" s="178"/>
      <x:c r="B249" s="178"/>
      <x:c r="C249" s="178"/>
      <x:c r="D249" s="178"/>
      <x:c r="E249" s="178"/>
      <x:c r="F249" s="178"/>
      <x:c r="G249" s="178"/>
      <x:c r="H249" s="178"/>
      <x:c r="I249" s="178"/>
      <x:c r="J249" s="178"/>
      <x:c r="K249" s="178"/>
      <x:c r="L249" s="178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 spans="1:26" ht="15.75" customHeight="1" x14ac:dyDescent="0.25">
      <x:c r="A250" s="178"/>
      <x:c r="B250" s="178"/>
      <x:c r="C250" s="178"/>
      <x:c r="D250" s="178"/>
      <x:c r="E250" s="178"/>
      <x:c r="F250" s="178"/>
      <x:c r="G250" s="178"/>
      <x:c r="H250" s="178"/>
      <x:c r="I250" s="178"/>
      <x:c r="J250" s="178"/>
      <x:c r="K250" s="178"/>
      <x:c r="L250" s="178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  <x:row r="251" spans="1:26" ht="15.75" customHeight="1" x14ac:dyDescent="0.25">
      <x:c r="A251" s="178"/>
      <x:c r="B251" s="178"/>
      <x:c r="C251" s="178"/>
      <x:c r="D251" s="178"/>
      <x:c r="E251" s="178"/>
      <x:c r="F251" s="178"/>
      <x:c r="G251" s="178"/>
      <x:c r="H251" s="178"/>
      <x:c r="I251" s="178"/>
      <x:c r="J251" s="178"/>
      <x:c r="K251" s="178"/>
      <x:c r="L251" s="178"/>
      <x:c r="M251" s="179"/>
      <x:c r="N251" s="179"/>
      <x:c r="O251" s="179"/>
      <x:c r="P251" s="179"/>
      <x:c r="Q251" s="179"/>
      <x:c r="R251" s="179"/>
      <x:c r="S251" s="179"/>
      <x:c r="T251" s="179"/>
      <x:c r="U251" s="179"/>
      <x:c r="V251" s="179"/>
      <x:c r="W251" s="179"/>
      <x:c r="X251" s="179"/>
      <x:c r="Y251" s="179"/>
      <x:c r="Z251" s="179"/>
    </x:row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999"/>
  <x:sheetViews>
    <x:sheetView zoomScale="85" zoomScaleNormal="85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4"/>
      <x:c r="B1" s="178"/>
      <x:c r="C1" s="178"/>
      <x:c r="D1" s="178"/>
      <x:c r="E1" s="178"/>
      <x:c r="F1" s="178"/>
      <x:c r="G1" s="178"/>
      <x:c r="H1" s="178"/>
      <x:c r="I1" s="179"/>
      <x:c r="J1" s="17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8"/>
      <x:c r="B2" s="178"/>
      <x:c r="C2" s="178"/>
      <x:c r="D2" s="178"/>
      <x:c r="E2" s="178"/>
      <x:c r="F2" s="178"/>
      <x:c r="G2" s="178"/>
      <x:c r="H2" s="178"/>
      <x:c r="I2" s="179"/>
      <x:c r="J2" s="179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8"/>
      <x:c r="B3" s="178"/>
      <x:c r="C3" s="178"/>
      <x:c r="D3" s="178"/>
      <x:c r="E3" s="178"/>
      <x:c r="F3" s="178"/>
      <x:c r="G3" s="178"/>
      <x:c r="H3" s="178"/>
      <x:c r="I3" s="179"/>
      <x:c r="J3" s="17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8"/>
      <x:c r="B4" s="178"/>
      <x:c r="C4" s="178"/>
      <x:c r="D4" s="178"/>
      <x:c r="E4" s="178"/>
      <x:c r="F4" s="178"/>
      <x:c r="G4" s="178"/>
      <x:c r="H4" s="178"/>
      <x:c r="I4" s="179"/>
      <x:c r="J4" s="17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31" t="s">
        <x:v>57</x:v>
      </x:c>
      <x:c r="B5" s="232"/>
      <x:c r="C5" s="233" t="s">
        <x:v>102</x:v>
      </x:c>
      <x:c r="D5" s="234" t="s">
        <x:v>58</x:v>
      </x:c>
      <x:c r="E5" s="235" t="s">
        <x:v>1</x:v>
      </x:c>
      <x:c r="F5" s="178"/>
      <x:c r="G5" s="178"/>
      <x:c r="H5" s="178"/>
      <x:c r="I5" s="179"/>
      <x:c r="J5" s="17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6"/>
      <x:c r="B6" s="178"/>
      <x:c r="C6" s="178"/>
      <x:c r="D6" s="178"/>
      <x:c r="E6" s="178"/>
      <x:c r="F6" s="178"/>
      <x:c r="G6" s="178"/>
      <x:c r="H6" s="178"/>
      <x:c r="I6" s="179"/>
      <x:c r="J6" s="17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6"/>
      <x:c r="B7" s="178"/>
      <x:c r="C7" s="178"/>
      <x:c r="D7" s="178"/>
      <x:c r="E7" s="178"/>
      <x:c r="F7" s="178"/>
      <x:c r="G7" s="178"/>
      <x:c r="H7" s="178"/>
      <x:c r="I7" s="179"/>
      <x:c r="J7" s="17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7"/>
      <x:c r="B8" s="232"/>
      <x:c r="C8" s="238" t="s">
        <x:v>59</x:v>
      </x:c>
      <x:c r="D8" s="232"/>
      <x:c r="E8" s="178"/>
      <x:c r="F8" s="178"/>
      <x:c r="G8" s="178"/>
      <x:c r="H8" s="178"/>
      <x:c r="I8" s="179"/>
      <x:c r="J8" s="17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7"/>
      <x:c r="B9" s="178"/>
      <x:c r="C9" s="239"/>
      <x:c r="D9" s="178"/>
      <x:c r="E9" s="190"/>
      <x:c r="F9" s="190"/>
      <x:c r="G9" s="190"/>
      <x:c r="H9" s="190"/>
      <x:c r="I9" s="240"/>
      <x:c r="J9" s="240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7" t="s">
        <x:v>3</x:v>
      </x:c>
      <x:c r="B10" s="178"/>
      <x:c r="C10" s="239"/>
      <x:c r="D10" s="187"/>
      <x:c r="E10" s="188" t="s">
        <x:v>4</x:v>
      </x:c>
      <x:c r="F10" s="189" t="s">
        <x:v>5</x:v>
      </x:c>
      <x:c r="G10" s="190"/>
      <x:c r="H10" s="190"/>
      <x:c r="I10" s="240"/>
      <x:c r="J10" s="240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41" t="s">
        <x:v>2</x:v>
      </x:c>
      <x:c r="B11" s="242"/>
      <x:c r="C11" s="242"/>
      <x:c r="D11" s="241"/>
      <x:c r="E11" s="194" t="s">
        <x:v>7</x:v>
      </x:c>
      <x:c r="F11" s="185" t="s">
        <x:v>6</x:v>
      </x:c>
      <x:c r="G11" s="190"/>
      <x:c r="H11" s="190"/>
      <x:c r="I11" s="240"/>
      <x:c r="J11" s="240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42" t="s">
        <x:v>103</x:v>
      </x:c>
      <x:c r="B12" s="242"/>
      <x:c r="C12" s="242"/>
      <x:c r="D12" s="242"/>
      <x:c r="E12" s="190" t="s">
        <x:v>9</x:v>
      </x:c>
      <x:c r="F12" s="178" t="s">
        <x:v>8</x:v>
      </x:c>
      <x:c r="G12" s="190"/>
      <x:c r="H12" s="190"/>
      <x:c r="I12" s="240"/>
      <x:c r="J12" s="240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42" t="s">
        <x:v>104</x:v>
      </x:c>
      <x:c r="B13" s="242"/>
      <x:c r="C13" s="242"/>
      <x:c r="D13" s="243"/>
      <x:c r="E13" s="190" t="s">
        <x:v>11</x:v>
      </x:c>
      <x:c r="F13" s="178" t="s">
        <x:v>10</x:v>
      </x:c>
      <x:c r="G13" s="190"/>
      <x:c r="H13" s="190"/>
      <x:c r="I13" s="240"/>
      <x:c r="J13" s="240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42" t="s">
        <x:v>105</x:v>
      </x:c>
      <x:c r="B14" s="242"/>
      <x:c r="C14" s="242"/>
      <x:c r="D14" s="244"/>
      <x:c r="E14" s="178"/>
      <x:c r="F14" s="178" t="s">
        <x:v>12</x:v>
      </x:c>
      <x:c r="G14" s="178"/>
      <x:c r="H14" s="178"/>
      <x:c r="I14" s="179"/>
      <x:c r="J14" s="17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78"/>
      <x:c r="B15" s="178"/>
      <x:c r="C15" s="178"/>
      <x:c r="D15" s="185"/>
      <x:c r="E15" s="178"/>
      <x:c r="F15" s="178"/>
      <x:c r="G15" s="178"/>
      <x:c r="H15" s="178"/>
      <x:c r="I15" s="179"/>
      <x:c r="J15" s="17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87" t="s">
        <x:v>14</x:v>
      </x:c>
      <x:c r="B16" s="178"/>
      <x:c r="C16" s="178"/>
      <x:c r="D16" s="185"/>
      <x:c r="E16" s="178"/>
      <x:c r="F16" s="178"/>
      <x:c r="G16" s="178"/>
      <x:c r="H16" s="178"/>
      <x:c r="I16" s="179"/>
      <x:c r="J16" s="17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241" t="s">
        <x:v>13</x:v>
      </x:c>
      <x:c r="B17" s="242"/>
      <x:c r="C17" s="242"/>
      <x:c r="D17" s="185"/>
      <x:c r="E17" s="178"/>
      <x:c r="F17" s="178"/>
      <x:c r="G17" s="178"/>
      <x:c r="H17" s="178"/>
      <x:c r="I17" s="179"/>
      <x:c r="J17" s="17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242" t="s">
        <x:v>15</x:v>
      </x:c>
      <x:c r="B18" s="242"/>
      <x:c r="C18" s="242"/>
      <x:c r="D18" s="185"/>
      <x:c r="E18" s="178"/>
      <x:c r="F18" s="178"/>
      <x:c r="G18" s="178"/>
      <x:c r="H18" s="178"/>
      <x:c r="I18" s="179"/>
      <x:c r="J18" s="179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42" t="s">
        <x:v>16</x:v>
      </x:c>
      <x:c r="B19" s="242"/>
      <x:c r="C19" s="242"/>
      <x:c r="D19" s="185"/>
      <x:c r="F19" s="178"/>
      <x:c r="G19" s="178"/>
      <x:c r="H19" s="178"/>
      <x:c r="I19" s="179"/>
      <x:c r="J19" s="17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42" t="s">
        <x:v>17</x:v>
      </x:c>
      <x:c r="B20" s="242"/>
      <x:c r="C20" s="242"/>
      <x:c r="D20" s="178"/>
      <x:c r="E20" s="178"/>
      <x:c r="F20" s="178"/>
      <x:c r="G20" s="178"/>
      <x:c r="H20" s="178"/>
      <x:c r="I20" s="179"/>
      <x:c r="J20" s="179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42" t="s">
        <x:v>18</x:v>
      </x:c>
      <x:c r="B21" s="242"/>
      <x:c r="C21" s="242"/>
      <x:c r="D21" s="178"/>
      <x:c r="E21" s="178"/>
      <x:c r="F21" s="178"/>
      <x:c r="G21" s="178"/>
      <x:c r="H21" s="178"/>
      <x:c r="I21" s="179"/>
      <x:c r="J21" s="17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ht="15.75" customHeight="1" x14ac:dyDescent="0.25">
      <x:c r="A22" s="239"/>
      <x:c r="B22" s="178"/>
      <x:c r="C22" s="245"/>
      <x:c r="D22" s="178"/>
      <x:c r="E22" s="245"/>
      <x:c r="F22" s="178"/>
      <x:c r="G22" s="178"/>
      <x:c r="H22" s="178"/>
      <x:c r="I22" s="179"/>
      <x:c r="J22" s="17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ht="40.9" customHeight="1" x14ac:dyDescent="0.25">
      <x:c r="A23" s="246" t="s">
        <x:v>61</x:v>
      </x:c>
      <x:c r="B23" s="246" t="s">
        <x:v>62</x:v>
      </x:c>
      <x:c r="C23" s="246" t="s">
        <x:v>23</x:v>
      </x:c>
      <x:c r="D23" s="246" t="s">
        <x:v>63</x:v>
      </x:c>
      <x:c r="E23" s="246" t="s">
        <x:v>64</x:v>
      </x:c>
      <x:c r="F23" s="178"/>
      <x:c r="G23" s="178"/>
      <x:c r="H23" s="178"/>
      <x:c r="I23" s="179"/>
      <x:c r="J23" s="17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ht="15.75" customHeight="1" x14ac:dyDescent="0.25">
      <x:c r="A24" s="247" t="s">
        <x:v>65</x:v>
      </x:c>
      <x:c r="B24" s="248" t="s">
        <x:v>102</x:v>
      </x:c>
      <x:c r="C24" s="249" t="s">
        <x:v>19</x:v>
      </x:c>
      <x:c r="D24" s="250" t="s">
        <x:v>19</x:v>
      </x:c>
      <x:c r="E24" s="249">
        <x:f>+C24*D24</x:f>
      </x:c>
      <x:c r="F24" s="178"/>
      <x:c r="G24" s="178"/>
      <x:c r="H24" s="178"/>
      <x:c r="I24" s="179"/>
      <x:c r="J24" s="17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ht="15.75" customHeight="1" x14ac:dyDescent="0.25">
      <x:c r="A25" s="247"/>
      <x:c r="B25" s="247"/>
      <x:c r="C25" s="251"/>
      <x:c r="D25" s="252"/>
      <x:c r="E25" s="251"/>
      <x:c r="F25" s="178"/>
      <x:c r="G25" s="178"/>
      <x:c r="H25" s="178"/>
      <x:c r="I25" s="179"/>
      <x:c r="J25" s="179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46" t="s">
        <x:v>32</x:v>
      </x:c>
      <x:c r="B26" s="253"/>
      <x:c r="C26" s="254">
        <x:f>SUM(C24:C25)</x:f>
      </x:c>
      <x:c r="D26" s="253"/>
      <x:c r="E26" s="254">
        <x:f>SUM(E24:E25)</x:f>
      </x:c>
      <x:c r="F26" s="178"/>
      <x:c r="G26" s="178"/>
      <x:c r="H26" s="178"/>
      <x:c r="I26" s="179"/>
      <x:c r="J26" s="179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15.75" customHeight="1" x14ac:dyDescent="0.25">
      <x:c r="A27" s="255"/>
      <x:c r="B27" s="256"/>
      <x:c r="C27" s="256"/>
      <x:c r="D27" s="256"/>
      <x:c r="E27" s="256"/>
      <x:c r="F27" s="178"/>
      <x:c r="G27" s="178"/>
      <x:c r="H27" s="178"/>
      <x:c r="I27" s="179"/>
      <x:c r="J27" s="17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55"/>
      <x:c r="B28" s="256"/>
      <x:c r="C28" s="256"/>
      <x:c r="D28" s="256"/>
      <x:c r="E28" s="256"/>
      <x:c r="F28" s="178"/>
      <x:c r="G28" s="178"/>
      <x:c r="H28" s="178"/>
      <x:c r="I28" s="179"/>
      <x:c r="J28" s="17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67"/>
      <x:c r="B29" s="68"/>
      <x:c r="C29" s="68"/>
      <x:c r="D29" s="68"/>
      <x:c r="E29" s="68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67"/>
      <x:c r="B30" s="68"/>
      <x:c r="C30" s="68"/>
      <x:c r="D30" s="68"/>
      <x:c r="E30" s="68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67"/>
      <x:c r="B31" s="68"/>
      <x:c r="C31" s="68"/>
      <x:c r="D31" s="68"/>
      <x:c r="E31" s="68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67"/>
      <x:c r="B32" s="68"/>
      <x:c r="C32" s="68"/>
      <x:c r="D32" s="68"/>
      <x:c r="E32" s="68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9"/>
      <x:c r="C40" s="69"/>
      <x:c r="D40" s="69"/>
      <x:c r="E40" s="69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B41" s="68"/>
      <x:c r="C41" s="68"/>
      <x:c r="D41" s="70"/>
      <x:c r="E41" s="71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K14" sqref="K14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</x:row>
    <x:row r="2" spans="1:10" ht="15" customHeight="1" x14ac:dyDescent="0.2">
      <x:c r="A2" s="178"/>
      <x:c r="B2" s="178"/>
      <x:c r="C2" s="178"/>
      <x:c r="D2" s="178"/>
      <x:c r="E2" s="178"/>
      <x:c r="F2" s="178"/>
      <x:c r="G2" s="178"/>
      <x:c r="H2" s="178"/>
    </x:row>
    <x:row r="3" spans="1:10" ht="15" customHeight="1" x14ac:dyDescent="0.2">
      <x:c r="A3" s="178"/>
      <x:c r="B3" s="178"/>
      <x:c r="C3" s="178"/>
      <x:c r="D3" s="178"/>
      <x:c r="E3" s="178"/>
      <x:c r="F3" s="178"/>
      <x:c r="G3" s="178"/>
      <x:c r="H3" s="178"/>
    </x:row>
    <x:row r="4" spans="1:10" ht="15" customHeight="1" x14ac:dyDescent="0.2">
      <x:c r="A4" s="178"/>
      <x:c r="B4" s="178"/>
      <x:c r="C4" s="178"/>
      <x:c r="D4" s="178"/>
      <x:c r="E4" s="178"/>
      <x:c r="F4" s="178"/>
      <x:c r="G4" s="178"/>
      <x:c r="H4" s="178"/>
    </x:row>
    <x:row r="5" spans="1:10" ht="15" customHeight="1" x14ac:dyDescent="0.2">
      <x:c r="A5" s="178"/>
      <x:c r="B5" s="178"/>
      <x:c r="C5" s="178"/>
      <x:c r="D5" s="178"/>
      <x:c r="E5" s="178"/>
      <x:c r="F5" s="178"/>
      <x:c r="G5" s="178"/>
      <x:c r="H5" s="178"/>
    </x:row>
    <x:row r="6" spans="1:10" ht="15" customHeight="1" x14ac:dyDescent="0.2">
      <x:c r="A6" s="178"/>
      <x:c r="B6" s="178"/>
      <x:c r="C6" s="178"/>
      <x:c r="D6" s="178"/>
      <x:c r="E6" s="178"/>
      <x:c r="F6" s="178"/>
      <x:c r="G6" s="178"/>
      <x:c r="H6" s="178"/>
    </x:row>
    <x:row r="7" spans="1:10" ht="14.25" customHeight="1" x14ac:dyDescent="0.2">
      <x:c r="A7" s="257" t="s">
        <x:v>66</x:v>
      </x:c>
      <x:c r="B7" s="258" t="s">
        <x:v>59</x:v>
      </x:c>
      <x:c r="C7" s="259"/>
      <x:c r="D7" s="260"/>
      <x:c r="E7" s="178"/>
      <x:c r="F7" s="178"/>
      <x:c r="G7" s="178"/>
      <x:c r="H7" s="235" t="s">
        <x:v>1</x:v>
      </x:c>
    </x:row>
    <x:row r="8" spans="1:10" ht="14.25" customHeight="1" x14ac:dyDescent="0.2">
      <x:c r="A8" s="261"/>
      <x:c r="B8" s="178"/>
      <x:c r="C8" s="178"/>
      <x:c r="D8" s="178"/>
      <x:c r="E8" s="178"/>
      <x:c r="F8" s="178"/>
      <x:c r="G8" s="178"/>
      <x:c r="H8" s="178"/>
    </x:row>
    <x:row r="9" spans="1:10" ht="14.25" customHeight="1" x14ac:dyDescent="0.2">
      <x:c r="A9" s="262"/>
      <x:c r="B9" s="178"/>
      <x:c r="C9" s="178"/>
      <x:c r="D9" s="178"/>
      <x:c r="E9" s="178"/>
      <x:c r="F9" s="178"/>
      <x:c r="G9" s="178"/>
      <x:c r="H9" s="178"/>
    </x:row>
    <x:row r="10" spans="1:10" ht="14.25" customHeight="1" x14ac:dyDescent="0.2">
      <x:c r="A10" s="178"/>
      <x:c r="B10" s="178"/>
      <x:c r="C10" s="263" t="s">
        <x:v>68</x:v>
      </x:c>
      <x:c r="D10" s="263"/>
      <x:c r="E10" s="263"/>
      <x:c r="F10" s="263"/>
      <x:c r="G10" s="178"/>
      <x:c r="H10" s="178"/>
    </x:row>
    <x:row r="11" spans="1:10" ht="14.25" customHeight="1" x14ac:dyDescent="0.2">
      <x:c r="A11" s="245"/>
      <x:c r="B11" s="178"/>
      <x:c r="C11" s="178"/>
      <x:c r="D11" s="178"/>
      <x:c r="E11" s="178"/>
      <x:c r="F11" s="178"/>
      <x:c r="G11" s="178"/>
      <x:c r="H11" s="178"/>
    </x:row>
    <x:row r="12" spans="1:10" ht="14.25" customHeight="1" x14ac:dyDescent="0.2">
      <x:c r="A12" s="245"/>
      <x:c r="B12" s="178"/>
      <x:c r="C12" s="178"/>
      <x:c r="D12" s="264" t="s">
        <x:v>69</x:v>
      </x:c>
      <x:c r="E12" s="178"/>
      <x:c r="F12" s="178"/>
      <x:c r="G12" s="178"/>
      <x:c r="H12" s="178"/>
    </x:row>
    <x:row r="13" spans="1:10" ht="14.25" customHeight="1" x14ac:dyDescent="0.2">
      <x:c r="A13" s="178"/>
      <x:c r="B13" s="178"/>
      <x:c r="C13" s="178"/>
      <x:c r="D13" s="178"/>
      <x:c r="E13" s="178"/>
      <x:c r="F13" s="178"/>
      <x:c r="G13" s="178"/>
      <x:c r="H13" s="178"/>
    </x:row>
    <x:row r="14" spans="1:10" ht="14.25" customHeight="1" x14ac:dyDescent="0.2">
      <x:c r="A14" s="245"/>
      <x:c r="B14" s="178"/>
      <x:c r="C14" s="178"/>
      <x:c r="D14" s="178"/>
      <x:c r="E14" s="178"/>
      <x:c r="F14" s="178"/>
      <x:c r="G14" s="178"/>
      <x:c r="H14" s="178"/>
    </x:row>
    <x:row r="15" spans="1:10" ht="14.25" customHeight="1" x14ac:dyDescent="0.2">
      <x:c r="A15" s="265" t="s">
        <x:v>60</x:v>
      </x:c>
      <x:c r="B15" s="265"/>
      <x:c r="C15" s="265"/>
      <x:c r="D15" s="266"/>
      <x:c r="E15" s="265"/>
      <x:c r="F15" s="265"/>
      <x:c r="G15" s="265"/>
      <x:c r="H15" s="265"/>
    </x:row>
    <x:row r="16" spans="1:10" ht="14.25" customHeight="1" x14ac:dyDescent="0.2">
      <x:c r="A16" s="265" t="s">
        <x:v>71</x:v>
      </x:c>
      <x:c r="B16" s="265"/>
      <x:c r="C16" s="265"/>
      <x:c r="D16" s="265"/>
      <x:c r="E16" s="265"/>
      <x:c r="F16" s="265"/>
      <x:c r="G16" s="265"/>
      <x:c r="H16" s="265"/>
    </x:row>
    <x:row r="17" spans="1:10" ht="14.25" customHeight="1" x14ac:dyDescent="0.2">
      <x:c r="A17" s="178"/>
      <x:c r="B17" s="178"/>
      <x:c r="C17" s="178"/>
      <x:c r="D17" s="178"/>
      <x:c r="E17" s="178"/>
      <x:c r="F17" s="178"/>
      <x:c r="G17" s="178"/>
      <x:c r="H17" s="178"/>
    </x:row>
    <x:row r="18" spans="1:10" ht="14.25" customHeight="1" x14ac:dyDescent="0.2">
      <x:c r="A18" s="178" t="s">
        <x:v>72</x:v>
      </x:c>
      <x:c r="B18" s="178"/>
      <x:c r="C18" s="178"/>
      <x:c r="D18" s="178"/>
      <x:c r="E18" s="178"/>
      <x:c r="F18" s="178"/>
      <x:c r="G18" s="178"/>
      <x:c r="H18" s="178"/>
    </x:row>
    <x:row r="19" spans="1:10" ht="15.75" customHeight="1" x14ac:dyDescent="0.2">
      <x:c r="A19" s="178"/>
      <x:c r="B19" s="178"/>
      <x:c r="C19" s="178"/>
      <x:c r="D19" s="178"/>
      <x:c r="E19" s="178"/>
      <x:c r="F19" s="178"/>
      <x:c r="G19" s="178"/>
      <x:c r="H19" s="178"/>
      <x:c r="J19" s="3"/>
    </x:row>
    <x:row r="20" spans="1:10" ht="14.25" customHeight="1" x14ac:dyDescent="0.2">
      <x:c r="A20" s="178"/>
      <x:c r="B20" s="178"/>
      <x:c r="C20" s="178"/>
      <x:c r="D20" s="178"/>
      <x:c r="E20" s="178"/>
      <x:c r="F20" s="178"/>
      <x:c r="G20" s="178"/>
      <x:c r="H20" s="178"/>
    </x:row>
    <x:row r="21" spans="1:10" ht="15.75" customHeight="1" x14ac:dyDescent="0.2">
      <x:c r="A21" s="232" t="s">
        <x:v>73</x:v>
      </x:c>
      <x:c r="B21" s="232"/>
      <x:c r="C21" s="267" t="s">
        <x:v>102</x:v>
      </x:c>
      <x:c r="D21" s="178"/>
      <x:c r="E21" s="178"/>
      <x:c r="F21" s="178"/>
      <x:c r="G21" s="178"/>
      <x:c r="H21" s="178"/>
    </x:row>
    <x:row r="22" spans="1:10" ht="15.75" customHeight="1" x14ac:dyDescent="0.2">
      <x:c r="A22" s="178"/>
      <x:c r="B22" s="178"/>
      <x:c r="C22" s="178"/>
      <x:c r="D22" s="178"/>
      <x:c r="E22" s="178"/>
      <x:c r="F22" s="178"/>
      <x:c r="G22" s="178"/>
      <x:c r="H22" s="178"/>
    </x:row>
    <x:row r="23" spans="1:10" ht="15.75" customHeight="1" x14ac:dyDescent="0.2">
      <x:c r="A23" s="268" t="s">
        <x:v>74</x:v>
      </x:c>
      <x:c r="B23" s="178"/>
      <x:c r="C23" s="178"/>
      <x:c r="D23" s="178"/>
      <x:c r="E23" s="178"/>
      <x:c r="F23" s="178"/>
      <x:c r="G23" s="178"/>
      <x:c r="H23" s="178"/>
    </x:row>
    <x:row r="24" spans="1:10" ht="15.75" customHeight="1" x14ac:dyDescent="0.2">
      <x:c r="A24" s="269" t="s">
        <x:v>70</x:v>
      </x:c>
      <x:c r="B24" s="193"/>
      <x:c r="C24" s="193"/>
      <x:c r="D24" s="193"/>
      <x:c r="E24" s="193"/>
      <x:c r="F24" s="178"/>
      <x:c r="G24" s="178"/>
      <x:c r="H24" s="178"/>
    </x:row>
    <x:row r="25" spans="1:10" ht="15.75" customHeight="1" x14ac:dyDescent="0.2">
      <x:c r="A25" s="269" t="s">
        <x:v>75</x:v>
      </x:c>
      <x:c r="B25" s="193"/>
      <x:c r="C25" s="193"/>
      <x:c r="D25" s="193"/>
      <x:c r="E25" s="193"/>
      <x:c r="F25" s="193"/>
      <x:c r="G25" s="193"/>
      <x:c r="H25" s="193"/>
    </x:row>
    <x:row r="26" spans="1:10" ht="15.75" customHeight="1" x14ac:dyDescent="0.2">
      <x:c r="A26" s="269" t="s">
        <x:v>76</x:v>
      </x:c>
      <x:c r="B26" s="178"/>
      <x:c r="C26" s="178"/>
      <x:c r="D26" s="178"/>
      <x:c r="E26" s="178"/>
      <x:c r="F26" s="178"/>
      <x:c r="G26" s="178"/>
      <x:c r="H26" s="178"/>
    </x:row>
    <x:row r="27" spans="1:10" ht="15.75" customHeight="1" x14ac:dyDescent="0.2">
      <x:c r="A27" s="214"/>
      <x:c r="B27" s="178"/>
      <x:c r="C27" s="178"/>
      <x:c r="D27" s="178"/>
      <x:c r="E27" s="178"/>
      <x:c r="F27" s="178"/>
      <x:c r="G27" s="178"/>
      <x:c r="H27" s="178"/>
    </x:row>
    <x:row r="28" spans="1:10" ht="15.75" customHeight="1" x14ac:dyDescent="0.2">
      <x:c r="A28" s="214" t="s">
        <x:v>77</x:v>
      </x:c>
      <x:c r="B28" s="178"/>
      <x:c r="C28" s="178"/>
      <x:c r="D28" s="178"/>
      <x:c r="E28" s="178"/>
      <x:c r="F28" s="178"/>
      <x:c r="G28" s="178"/>
      <x:c r="H28" s="178"/>
    </x:row>
    <x:row r="29" spans="1:10" ht="15.75" customHeight="1" x14ac:dyDescent="0.2">
      <x:c r="A29" s="178"/>
      <x:c r="B29" s="178"/>
      <x:c r="C29" s="178"/>
      <x:c r="D29" s="178"/>
      <x:c r="E29" s="178"/>
      <x:c r="F29" s="178"/>
      <x:c r="G29" s="178"/>
      <x:c r="H29" s="178"/>
    </x:row>
    <x:row r="30" spans="1:10" ht="15.75" customHeight="1" x14ac:dyDescent="0.2">
      <x:c r="A30" s="178"/>
      <x:c r="B30" s="178"/>
      <x:c r="C30" s="178"/>
      <x:c r="D30" s="178"/>
      <x:c r="E30" s="178"/>
      <x:c r="F30" s="178"/>
      <x:c r="G30" s="178"/>
      <x:c r="H30" s="178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  <x:c r="I1" s="178"/>
    </x:row>
    <x:row r="2" spans="1:9" ht="15" customHeight="1" x14ac:dyDescent="0.2">
      <x:c r="A2" s="178"/>
      <x:c r="B2" s="178"/>
      <x:c r="C2" s="178"/>
      <x:c r="D2" s="178"/>
      <x:c r="E2" s="178"/>
      <x:c r="F2" s="178"/>
      <x:c r="G2" s="178"/>
      <x:c r="H2" s="178"/>
      <x:c r="I2" s="178"/>
    </x:row>
    <x:row r="3" spans="1:9" ht="15" customHeight="1" x14ac:dyDescent="0.2">
      <x:c r="A3" s="178"/>
      <x:c r="B3" s="178"/>
      <x:c r="C3" s="178"/>
      <x:c r="D3" s="178"/>
      <x:c r="E3" s="178"/>
      <x:c r="F3" s="178"/>
      <x:c r="G3" s="178"/>
      <x:c r="H3" s="178"/>
      <x:c r="I3" s="178"/>
    </x:row>
    <x:row r="4" spans="1:9" ht="15" customHeight="1" x14ac:dyDescent="0.2">
      <x:c r="A4" s="178"/>
      <x:c r="B4" s="178"/>
      <x:c r="C4" s="178"/>
      <x:c r="D4" s="178"/>
      <x:c r="E4" s="178"/>
      <x:c r="F4" s="178"/>
      <x:c r="G4" s="178"/>
      <x:c r="H4" s="178"/>
      <x:c r="I4" s="178"/>
    </x:row>
    <x:row r="5" spans="1:9" ht="15" customHeight="1" x14ac:dyDescent="0.2">
      <x:c r="A5" s="178"/>
      <x:c r="B5" s="178"/>
      <x:c r="C5" s="178"/>
      <x:c r="D5" s="178"/>
      <x:c r="E5" s="178"/>
      <x:c r="F5" s="178"/>
      <x:c r="G5" s="178"/>
      <x:c r="H5" s="178"/>
      <x:c r="I5" s="178"/>
    </x:row>
    <x:row r="6" spans="1:9" ht="15" customHeight="1" x14ac:dyDescent="0.2">
      <x:c r="A6" s="178"/>
      <x:c r="B6" s="178"/>
      <x:c r="C6" s="178"/>
      <x:c r="D6" s="178"/>
      <x:c r="E6" s="178"/>
      <x:c r="F6" s="178"/>
      <x:c r="G6" s="178"/>
      <x:c r="H6" s="178"/>
      <x:c r="I6" s="178"/>
    </x:row>
    <x:row r="7" spans="1:9" ht="14.25" customHeight="1" x14ac:dyDescent="0.2">
      <x:c r="A7" s="270" t="s">
        <x:v>66</x:v>
      </x:c>
      <x:c r="B7" s="271" t="s">
        <x:v>59</x:v>
      </x:c>
      <x:c r="C7" s="259"/>
      <x:c r="D7" s="260"/>
      <x:c r="E7" s="178"/>
      <x:c r="F7" s="178"/>
      <x:c r="G7" s="261"/>
      <x:c r="H7" s="235" t="s">
        <x:v>1</x:v>
      </x:c>
      <x:c r="I7" s="178"/>
    </x:row>
    <x:row r="8" spans="1:9" ht="14.25" customHeight="1" x14ac:dyDescent="0.2">
      <x:c r="A8" s="261"/>
      <x:c r="B8" s="178"/>
      <x:c r="C8" s="178"/>
      <x:c r="D8" s="178"/>
      <x:c r="E8" s="178"/>
      <x:c r="F8" s="178"/>
      <x:c r="G8" s="178"/>
      <x:c r="H8" s="178"/>
      <x:c r="I8" s="178"/>
    </x:row>
    <x:row r="9" spans="1:9" ht="14.25" customHeight="1" x14ac:dyDescent="0.2">
      <x:c r="A9" s="261"/>
      <x:c r="B9" s="178"/>
      <x:c r="C9" s="178"/>
      <x:c r="D9" s="178"/>
      <x:c r="E9" s="178"/>
      <x:c r="F9" s="178"/>
      <x:c r="G9" s="178"/>
      <x:c r="H9" s="178"/>
      <x:c r="I9" s="178"/>
    </x:row>
    <x:row r="10" spans="1:9" ht="14.25" customHeight="1" x14ac:dyDescent="0.2">
      <x:c r="A10" s="268" t="s">
        <x:v>74</x:v>
      </x:c>
      <x:c r="B10" s="178"/>
      <x:c r="C10" s="178"/>
      <x:c r="D10" s="178"/>
      <x:c r="E10" s="178"/>
      <x:c r="F10" s="178"/>
      <x:c r="G10" s="178"/>
      <x:c r="H10" s="178"/>
      <x:c r="I10" s="178"/>
    </x:row>
    <x:row r="11" spans="1:9" ht="14.25" customHeight="1" x14ac:dyDescent="0.2">
      <x:c r="A11" s="272" t="s">
        <x:v>70</x:v>
      </x:c>
      <x:c r="B11" s="193"/>
      <x:c r="C11" s="193"/>
      <x:c r="D11" s="193"/>
      <x:c r="E11" s="193"/>
      <x:c r="F11" s="178"/>
      <x:c r="G11" s="178"/>
      <x:c r="H11" s="178"/>
      <x:c r="I11" s="178"/>
    </x:row>
    <x:row r="12" spans="1:9" ht="14.25" customHeight="1" x14ac:dyDescent="0.2">
      <x:c r="A12" s="272" t="s">
        <x:v>75</x:v>
      </x:c>
      <x:c r="B12" s="193"/>
      <x:c r="C12" s="193"/>
      <x:c r="D12" s="193"/>
      <x:c r="E12" s="193"/>
      <x:c r="F12" s="193"/>
      <x:c r="G12" s="193"/>
      <x:c r="H12" s="193"/>
      <x:c r="I12" s="178"/>
    </x:row>
    <x:row r="13" spans="1:9" ht="14.25" customHeight="1" x14ac:dyDescent="0.2">
      <x:c r="A13" s="272" t="s">
        <x:v>76</x:v>
      </x:c>
      <x:c r="B13" s="178"/>
      <x:c r="C13" s="178"/>
      <x:c r="D13" s="178"/>
      <x:c r="E13" s="178"/>
      <x:c r="F13" s="178"/>
      <x:c r="G13" s="178"/>
      <x:c r="H13" s="178"/>
      <x:c r="I13" s="178"/>
    </x:row>
    <x:row r="14" spans="1:9" ht="14.25" customHeight="1" x14ac:dyDescent="0.2">
      <x:c r="A14" s="261"/>
      <x:c r="B14" s="178"/>
      <x:c r="C14" s="178"/>
      <x:c r="D14" s="178"/>
      <x:c r="E14" s="178"/>
      <x:c r="F14" s="178"/>
      <x:c r="G14" s="178"/>
      <x:c r="H14" s="178"/>
      <x:c r="I14" s="178"/>
    </x:row>
    <x:row r="15" spans="1:9" ht="14.25" customHeight="1" x14ac:dyDescent="0.2">
      <x:c r="A15" s="261"/>
      <x:c r="B15" s="178"/>
      <x:c r="C15" s="178"/>
      <x:c r="D15" s="178"/>
      <x:c r="E15" s="178"/>
      <x:c r="F15" s="178"/>
      <x:c r="G15" s="178"/>
      <x:c r="H15" s="178"/>
      <x:c r="I15" s="178"/>
    </x:row>
    <x:row r="16" spans="1:9" ht="14.25" customHeight="1" x14ac:dyDescent="0.2">
      <x:c r="A16" s="178" t="s">
        <x:v>78</x:v>
      </x:c>
      <x:c r="B16" s="261"/>
      <x:c r="C16" s="261"/>
      <x:c r="D16" s="261"/>
      <x:c r="E16" s="178"/>
      <x:c r="F16" s="178"/>
      <x:c r="G16" s="178"/>
      <x:c r="H16" s="178"/>
      <x:c r="I16" s="178"/>
    </x:row>
    <x:row r="17" spans="1:9" ht="14.25" customHeight="1" x14ac:dyDescent="0.2">
      <x:c r="A17" s="178" t="s">
        <x:v>79</x:v>
      </x:c>
      <x:c r="B17" s="261"/>
      <x:c r="C17" s="261"/>
      <x:c r="D17" s="261"/>
      <x:c r="E17" s="178"/>
      <x:c r="F17" s="178"/>
      <x:c r="G17" s="178"/>
      <x:c r="H17" s="178"/>
      <x:c r="I17" s="178"/>
    </x:row>
    <x:row r="18" spans="1:9" ht="14.25" customHeight="1" x14ac:dyDescent="0.2">
      <x:c r="A18" s="178" t="s">
        <x:v>80</x:v>
      </x:c>
      <x:c r="B18" s="261"/>
      <x:c r="C18" s="261"/>
      <x:c r="D18" s="261"/>
      <x:c r="E18" s="178"/>
      <x:c r="F18" s="178"/>
      <x:c r="G18" s="178"/>
      <x:c r="H18" s="178"/>
      <x:c r="I18" s="178"/>
    </x:row>
    <x:row r="19" spans="1:9" ht="14.25" customHeight="1" x14ac:dyDescent="0.2">
      <x:c r="A19" s="178" t="s">
        <x:v>81</x:v>
      </x:c>
      <x:c r="B19" s="261"/>
      <x:c r="C19" s="261"/>
      <x:c r="D19" s="261"/>
      <x:c r="E19" s="178"/>
      <x:c r="F19" s="178"/>
      <x:c r="G19" s="178"/>
      <x:c r="H19" s="178"/>
      <x:c r="I19" s="178"/>
    </x:row>
    <x:row r="20" spans="1:9" ht="14.25" customHeight="1" x14ac:dyDescent="0.2">
      <x:c r="A20" s="178" t="s">
        <x:v>82</x:v>
      </x:c>
      <x:c r="B20" s="261"/>
      <x:c r="C20" s="261"/>
      <x:c r="D20" s="261"/>
      <x:c r="E20" s="178"/>
      <x:c r="F20" s="178"/>
      <x:c r="G20" s="178"/>
      <x:c r="H20" s="178"/>
      <x:c r="I20" s="178"/>
    </x:row>
    <x:row r="21" spans="1:9" ht="14.25" customHeight="1" x14ac:dyDescent="0.2">
      <x:c r="A21" s="178" t="s">
        <x:v>83</x:v>
      </x:c>
      <x:c r="B21" s="261"/>
      <x:c r="C21" s="261"/>
      <x:c r="D21" s="261"/>
      <x:c r="E21" s="178"/>
      <x:c r="F21" s="178"/>
      <x:c r="G21" s="178"/>
      <x:c r="H21" s="178"/>
      <x:c r="I21" s="178"/>
    </x:row>
    <x:row r="22" spans="1:9" ht="15.75" customHeight="1" x14ac:dyDescent="0.2">
      <x:c r="A22" s="178"/>
      <x:c r="B22" s="178"/>
      <x:c r="C22" s="178"/>
      <x:c r="D22" s="178"/>
      <x:c r="E22" s="178"/>
      <x:c r="F22" s="178"/>
      <x:c r="G22" s="178"/>
      <x:c r="H22" s="178"/>
      <x:c r="I22" s="178"/>
    </x:row>
    <x:row r="23" spans="1:9" ht="15.75" customHeight="1" x14ac:dyDescent="0.2">
      <x:c r="A23" s="185" t="s">
        <x:v>84</x:v>
      </x:c>
      <x:c r="B23" s="185"/>
      <x:c r="C23" s="185"/>
      <x:c r="D23" s="185"/>
      <x:c r="E23" s="273">
        <x:f>'INVOICE '!B28</x:f>
      </x:c>
      <x:c r="F23" s="178"/>
      <x:c r="G23" s="178"/>
      <x:c r="H23" s="178"/>
      <x:c r="I23" s="178"/>
    </x:row>
    <x:row r="24" spans="1:9" ht="15.75" customHeight="1" x14ac:dyDescent="0.2">
      <x:c r="A24" s="185" t="s">
        <x:v>85</x:v>
      </x:c>
      <x:c r="B24" s="185"/>
      <x:c r="C24" s="185"/>
      <x:c r="D24" s="185"/>
      <x:c r="E24" s="274" t="s">
        <x:v>44</x:v>
      </x:c>
      <x:c r="F24" s="178"/>
      <x:c r="G24" s="178"/>
      <x:c r="H24" s="178"/>
      <x:c r="I24" s="178"/>
    </x:row>
    <x:row r="25" spans="1:9" ht="15.75" customHeight="1" x14ac:dyDescent="0.2">
      <x:c r="A25" s="185" t="s">
        <x:v>86</x:v>
      </x:c>
      <x:c r="B25" s="185"/>
      <x:c r="C25" s="185"/>
      <x:c r="D25" s="275"/>
      <x:c r="E25" s="215">
        <x:f>'INVOICE '!D28*1000</x:f>
      </x:c>
      <x:c r="F25" s="178"/>
      <x:c r="G25" s="178"/>
      <x:c r="H25" s="178"/>
      <x:c r="I25" s="178"/>
    </x:row>
    <x:row r="26" spans="1:9" ht="15.75" customHeight="1" x14ac:dyDescent="0.2">
      <x:c r="A26" s="261"/>
      <x:c r="B26" s="178"/>
      <x:c r="C26" s="178"/>
      <x:c r="D26" s="178"/>
      <x:c r="E26" s="178"/>
      <x:c r="F26" s="178"/>
      <x:c r="G26" s="178"/>
      <x:c r="H26" s="178"/>
      <x:c r="I26" s="178"/>
    </x:row>
    <x:row r="27" spans="1:9" ht="15.75" customHeight="1" x14ac:dyDescent="0.2">
      <x:c r="A27" s="178"/>
      <x:c r="B27" s="178"/>
      <x:c r="C27" s="178"/>
      <x:c r="D27" s="178"/>
      <x:c r="E27" s="178"/>
      <x:c r="F27" s="178"/>
      <x:c r="G27" s="178"/>
      <x:c r="H27" s="178"/>
      <x:c r="I27" s="178"/>
    </x:row>
    <x:row r="28" spans="1:9" ht="15.75" customHeight="1" x14ac:dyDescent="0.2">
      <x:c r="A28" s="178" t="s">
        <x:v>87</x:v>
      </x:c>
      <x:c r="B28" s="178"/>
      <x:c r="C28" s="265"/>
      <x:c r="D28" s="265"/>
      <x:c r="E28" s="265"/>
      <x:c r="F28" s="178"/>
      <x:c r="G28" s="178"/>
      <x:c r="H28" s="178"/>
      <x:c r="I28" s="178"/>
    </x:row>
    <x:row r="29" spans="1:9" ht="15.75" customHeight="1" x14ac:dyDescent="0.2">
      <x:c r="A29" s="178" t="s">
        <x:v>88</x:v>
      </x:c>
      <x:c r="B29" s="178"/>
      <x:c r="C29" s="178"/>
      <x:c r="D29" s="178"/>
      <x:c r="E29" s="178"/>
      <x:c r="F29" s="178"/>
      <x:c r="G29" s="178"/>
      <x:c r="H29" s="178"/>
      <x:c r="I29" s="178"/>
    </x:row>
    <x:row r="30" spans="1:9" ht="15.75" customHeight="1" x14ac:dyDescent="0.2">
      <x:c r="A30" s="178"/>
      <x:c r="B30" s="178"/>
      <x:c r="C30" s="178"/>
      <x:c r="D30" s="178"/>
      <x:c r="E30" s="178"/>
      <x:c r="F30" s="178"/>
      <x:c r="G30" s="178"/>
      <x:c r="H30" s="178"/>
      <x:c r="I30" s="178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88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0"/>
  <x:sheetViews>
    <x:sheetView workbookViewId="0">
      <x:selection activeCell="M19" sqref="M19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</x:row>
    <x:row r="2" spans="1:26" ht="15" customHeight="1" x14ac:dyDescent="0.2">
      <x:c r="A2" s="178"/>
      <x:c r="B2" s="178"/>
      <x:c r="C2" s="178"/>
      <x:c r="D2" s="178"/>
      <x:c r="E2" s="178"/>
      <x:c r="F2" s="178"/>
      <x:c r="G2" s="178"/>
      <x:c r="H2" s="178"/>
      <x:c r="I2" s="178"/>
      <x:c r="J2" s="178"/>
      <x:c r="K2" s="178"/>
      <x:c r="L2" s="178"/>
    </x:row>
    <x:row r="3" spans="1:26" ht="14.25" customHeight="1" x14ac:dyDescent="0.2">
      <x:c r="A3" s="178"/>
      <x:c r="B3" s="178"/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</x:row>
    <x:row r="4" spans="1:26" ht="14.25" customHeight="1" x14ac:dyDescent="0.2">
      <x:c r="A4" s="261"/>
      <x:c r="B4" s="178"/>
      <x:c r="C4" s="263" t="s">
        <x:v>67</x:v>
      </x:c>
      <x:c r="D4" s="178"/>
      <x:c r="E4" s="178"/>
      <x:c r="F4" s="178"/>
      <x:c r="G4" s="178"/>
      <x:c r="H4" s="235" t="s">
        <x:v>1</x:v>
      </x:c>
      <x:c r="I4" s="178"/>
      <x:c r="J4" s="178"/>
      <x:c r="K4" s="178"/>
      <x:c r="L4" s="178"/>
    </x:row>
    <x:row r="5" spans="1:26" ht="14.25" customHeight="1" x14ac:dyDescent="0.2">
      <x:c r="A5" s="261"/>
      <x:c r="B5" s="178"/>
      <x:c r="C5" s="178"/>
      <x:c r="D5" s="178"/>
      <x:c r="E5" s="178"/>
      <x:c r="F5" s="178"/>
      <x:c r="G5" s="178"/>
      <x:c r="H5" s="178"/>
      <x:c r="I5" s="178"/>
      <x:c r="J5" s="178"/>
      <x:c r="K5" s="178"/>
      <x:c r="L5" s="178"/>
    </x:row>
    <x:row r="6" spans="1:26" ht="14.25" customHeight="1" x14ac:dyDescent="0.2">
      <x:c r="A6" s="187" t="s">
        <x:v>3</x:v>
      </x:c>
      <x:c r="B6" s="178"/>
      <x:c r="C6" s="239"/>
      <x:c r="D6" s="187"/>
      <x:c r="E6" s="178"/>
      <x:c r="F6" s="178"/>
      <x:c r="G6" s="188"/>
      <x:c r="H6" s="189" t="s">
        <x:v>5</x:v>
      </x:c>
      <x:c r="I6" s="190"/>
      <x:c r="J6" s="190"/>
      <x:c r="K6" s="190"/>
      <x:c r="L6" s="178"/>
    </x:row>
    <x:row r="7" spans="1:26" ht="14.25" customHeight="1" x14ac:dyDescent="0.2">
      <x:c r="A7" s="241" t="s">
        <x:v>2</x:v>
      </x:c>
      <x:c r="B7" s="242"/>
      <x:c r="C7" s="242"/>
      <x:c r="D7" s="241"/>
      <x:c r="E7" s="178"/>
      <x:c r="F7" s="178"/>
      <x:c r="G7" s="188" t="s">
        <x:v>4</x:v>
      </x:c>
      <x:c r="H7" s="185" t="s">
        <x:v>6</x:v>
      </x:c>
      <x:c r="I7" s="190"/>
      <x:c r="J7" s="190"/>
      <x:c r="K7" s="190"/>
      <x:c r="L7" s="178"/>
    </x:row>
    <x:row r="8" spans="1:26" ht="14.25" customHeight="1" x14ac:dyDescent="0.2">
      <x:c r="A8" s="242" t="s">
        <x:v>103</x:v>
      </x:c>
      <x:c r="B8" s="242"/>
      <x:c r="C8" s="242"/>
      <x:c r="D8" s="242"/>
      <x:c r="E8" s="178"/>
      <x:c r="F8" s="178"/>
      <x:c r="G8" s="194" t="s">
        <x:v>7</x:v>
      </x:c>
      <x:c r="H8" s="178" t="s">
        <x:v>8</x:v>
      </x:c>
      <x:c r="I8" s="190"/>
      <x:c r="J8" s="190"/>
      <x:c r="K8" s="190"/>
      <x:c r="L8" s="178"/>
    </x:row>
    <x:row r="9" spans="1:26" ht="14.25" customHeight="1" x14ac:dyDescent="0.2">
      <x:c r="A9" s="242" t="s">
        <x:v>104</x:v>
      </x:c>
      <x:c r="B9" s="242"/>
      <x:c r="C9" s="242"/>
      <x:c r="D9" s="243"/>
      <x:c r="E9" s="178"/>
      <x:c r="F9" s="178"/>
      <x:c r="G9" s="190" t="s">
        <x:v>9</x:v>
      </x:c>
      <x:c r="H9" s="178" t="s">
        <x:v>10</x:v>
      </x:c>
      <x:c r="I9" s="190"/>
      <x:c r="J9" s="190"/>
      <x:c r="K9" s="190"/>
      <x:c r="L9" s="178"/>
    </x:row>
    <x:row r="10" spans="1:26" ht="14.25" customHeight="1" x14ac:dyDescent="0.2">
      <x:c r="A10" s="242" t="s">
        <x:v>105</x:v>
      </x:c>
      <x:c r="B10" s="242"/>
      <x:c r="C10" s="242"/>
      <x:c r="D10" s="244"/>
      <x:c r="E10" s="178"/>
      <x:c r="F10" s="178"/>
      <x:c r="G10" s="190"/>
      <x:c r="H10" s="178" t="s">
        <x:v>12</x:v>
      </x:c>
      <x:c r="I10" s="190"/>
      <x:c r="J10" s="190"/>
      <x:c r="K10" s="190"/>
      <x:c r="L10" s="178"/>
    </x:row>
    <x:row r="11" spans="1:26" ht="14.25" customHeight="1" x14ac:dyDescent="0.2">
      <x:c r="A11" s="178"/>
      <x:c r="B11" s="178"/>
      <x:c r="C11" s="178"/>
      <x:c r="D11" s="185"/>
      <x:c r="E11" s="178"/>
      <x:c r="F11" s="178"/>
      <x:c r="G11" s="190"/>
      <x:c r="H11" s="190"/>
      <x:c r="I11" s="190"/>
      <x:c r="J11" s="190"/>
      <x:c r="K11" s="190"/>
      <x:c r="L11" s="178"/>
    </x:row>
    <x:row r="12" spans="1:26" ht="14.25" customHeight="1" x14ac:dyDescent="0.2">
      <x:c r="A12" s="178"/>
      <x:c r="B12" s="178"/>
      <x:c r="C12" s="178"/>
      <x:c r="D12" s="185"/>
      <x:c r="E12" s="178"/>
      <x:c r="F12" s="178"/>
      <x:c r="G12" s="178"/>
      <x:c r="H12" s="178"/>
      <x:c r="I12" s="178"/>
      <x:c r="J12" s="178"/>
      <x:c r="K12" s="178"/>
      <x:c r="L12" s="178"/>
    </x:row>
    <x:row r="13" spans="1:26" ht="14.25" customHeight="1" x14ac:dyDescent="0.2">
      <x:c r="A13" s="187" t="s">
        <x:v>14</x:v>
      </x:c>
      <x:c r="B13" s="178"/>
      <x:c r="C13" s="178"/>
      <x:c r="D13" s="185"/>
      <x:c r="E13" s="178"/>
      <x:c r="F13" s="178"/>
      <x:c r="G13" s="178"/>
      <x:c r="H13" s="178"/>
      <x:c r="I13" s="178"/>
      <x:c r="J13" s="178"/>
      <x:c r="K13" s="178"/>
      <x:c r="L13" s="178"/>
    </x:row>
    <x:row r="14" spans="1:26" ht="14.25" customHeight="1" x14ac:dyDescent="0.2">
      <x:c r="A14" s="241" t="s">
        <x:v>13</x:v>
      </x:c>
      <x:c r="B14" s="242"/>
      <x:c r="C14" s="242"/>
      <x:c r="D14" s="241"/>
      <x:c r="E14" s="178"/>
      <x:c r="F14" s="178"/>
      <x:c r="G14" s="178"/>
      <x:c r="H14" s="178"/>
      <x:c r="I14" s="178"/>
      <x:c r="J14" s="178"/>
      <x:c r="K14" s="178"/>
      <x:c r="L14" s="178"/>
    </x:row>
    <x:row r="15" spans="1:26" ht="14.25" customHeight="1" x14ac:dyDescent="0.2">
      <x:c r="A15" s="242" t="s">
        <x:v>15</x:v>
      </x:c>
      <x:c r="B15" s="242"/>
      <x:c r="C15" s="242"/>
      <x:c r="D15" s="241"/>
      <x:c r="E15" s="178"/>
      <x:c r="F15" s="178"/>
      <x:c r="G15" s="178"/>
      <x:c r="H15" s="178"/>
      <x:c r="I15" s="178"/>
      <x:c r="J15" s="178"/>
      <x:c r="K15" s="178"/>
      <x:c r="L15" s="178"/>
    </x:row>
    <x:row r="16" spans="1:26" ht="14.25" customHeight="1" x14ac:dyDescent="0.2">
      <x:c r="A16" s="242" t="s">
        <x:v>16</x:v>
      </x:c>
      <x:c r="B16" s="242"/>
      <x:c r="C16" s="242"/>
      <x:c r="D16" s="241"/>
      <x:c r="E16" s="178"/>
      <x:c r="F16" s="178"/>
      <x:c r="G16" s="178"/>
      <x:c r="H16" s="178"/>
      <x:c r="I16" s="178"/>
      <x:c r="J16" s="178"/>
      <x:c r="K16" s="178"/>
      <x:c r="L16" s="178"/>
    </x:row>
    <x:row r="17" spans="1:26" ht="14.25" customHeight="1" x14ac:dyDescent="0.2">
      <x:c r="A17" s="242" t="s">
        <x:v>17</x:v>
      </x:c>
      <x:c r="B17" s="242"/>
      <x:c r="C17" s="242"/>
      <x:c r="D17" s="241"/>
      <x:c r="E17" s="178"/>
      <x:c r="F17" s="178"/>
      <x:c r="G17" s="178"/>
      <x:c r="H17" s="178"/>
      <x:c r="I17" s="178"/>
      <x:c r="J17" s="178"/>
      <x:c r="K17" s="178"/>
      <x:c r="L17" s="178"/>
    </x:row>
    <x:row r="18" spans="1:26" ht="14.25" customHeight="1" x14ac:dyDescent="0.2">
      <x:c r="A18" s="242" t="s">
        <x:v>18</x:v>
      </x:c>
      <x:c r="B18" s="242"/>
      <x:c r="C18" s="242"/>
      <x:c r="D18" s="241"/>
      <x:c r="E18" s="178"/>
      <x:c r="F18" s="178"/>
      <x:c r="G18" s="178"/>
      <x:c r="H18" s="178"/>
      <x:c r="I18" s="178"/>
      <x:c r="J18" s="178"/>
      <x:c r="K18" s="178"/>
      <x:c r="L18" s="178"/>
    </x:row>
    <x:row r="19" spans="1:26" ht="14.25" customHeight="1" x14ac:dyDescent="0.2">
      <x:c r="A19" s="185"/>
      <x:c r="B19" s="178"/>
      <x:c r="C19" s="178"/>
      <x:c r="D19" s="185"/>
      <x:c r="E19" s="178"/>
      <x:c r="F19" s="178"/>
      <x:c r="G19" s="178"/>
      <x:c r="H19" s="178"/>
      <x:c r="I19" s="178"/>
      <x:c r="J19" s="178"/>
      <x:c r="K19" s="178"/>
      <x:c r="L19" s="178"/>
    </x:row>
    <x:row r="20" spans="1:26" ht="14.25" customHeight="1" x14ac:dyDescent="0.2">
      <x:c r="A20" s="214" t="s">
        <x:v>89</x:v>
      </x:c>
      <x:c r="B20" s="178"/>
      <x:c r="C20" s="178"/>
      <x:c r="D20" s="276" t="s">
        <x:v>42</x:v>
      </x:c>
      <x:c r="E20" s="276"/>
      <x:c r="F20" s="276"/>
      <x:c r="G20" s="178"/>
      <x:c r="H20" s="178"/>
      <x:c r="I20" s="178"/>
      <x:c r="J20" s="178"/>
      <x:c r="K20" s="178"/>
      <x:c r="L20" s="178"/>
    </x:row>
    <x:row r="21" spans="1:26" ht="14.25" customHeight="1" x14ac:dyDescent="0.2">
      <x:c r="A21" s="214" t="s">
        <x:v>90</x:v>
      </x:c>
      <x:c r="B21" s="223"/>
      <x:c r="C21" s="223"/>
      <x:c r="D21" s="277">
        <x:f>'INVOICE '!B28</x:f>
      </x:c>
      <x:c r="E21" s="278"/>
      <x:c r="F21" s="278"/>
      <x:c r="G21" s="178"/>
      <x:c r="H21" s="178"/>
      <x:c r="I21" s="178"/>
      <x:c r="J21" s="178"/>
      <x:c r="K21" s="178"/>
      <x:c r="L21" s="178"/>
    </x:row>
    <x:row r="22" spans="1:26" ht="14.25" customHeight="1" x14ac:dyDescent="0.2">
      <x:c r="A22" s="185" t="s">
        <x:v>91</x:v>
      </x:c>
      <x:c r="B22" s="178"/>
      <x:c r="C22" s="178"/>
      <x:c r="D22" s="279" t="s">
        <x:v>44</x:v>
      </x:c>
      <x:c r="E22" s="280"/>
      <x:c r="F22" s="280"/>
      <x:c r="G22" s="178"/>
      <x:c r="H22" s="178"/>
      <x:c r="I22" s="178"/>
      <x:c r="J22" s="178"/>
      <x:c r="K22" s="178"/>
      <x:c r="L22" s="178"/>
    </x:row>
    <x:row r="23" spans="1:26" ht="14.25" customHeight="1" x14ac:dyDescent="0.2">
      <x:c r="A23" s="185" t="s">
        <x:v>92</x:v>
      </x:c>
      <x:c r="B23" s="178"/>
      <x:c r="C23" s="178"/>
      <x:c r="D23" s="281" t="s">
        <x:v>102</x:v>
      </x:c>
      <x:c r="E23" s="276"/>
      <x:c r="F23" s="276"/>
      <x:c r="G23" s="178"/>
      <x:c r="H23" s="178"/>
      <x:c r="I23" s="178"/>
      <x:c r="J23" s="178"/>
      <x:c r="K23" s="178"/>
      <x:c r="L23" s="178"/>
    </x:row>
    <x:row r="24" spans="1:26" ht="15.75" customHeight="1" x14ac:dyDescent="0.2">
      <x:c r="A24" s="261"/>
      <x:c r="B24" s="178"/>
      <x:c r="C24" s="178"/>
      <x:c r="D24" s="178"/>
      <x:c r="E24" s="178"/>
      <x:c r="F24" s="178"/>
      <x:c r="G24" s="178"/>
      <x:c r="H24" s="178"/>
      <x:c r="I24" s="178"/>
      <x:c r="J24" s="178"/>
      <x:c r="K24" s="178"/>
      <x:c r="L24" s="178"/>
    </x:row>
    <x:row r="25" spans="1:26" ht="15.75" customHeight="1" x14ac:dyDescent="0.2">
      <x:c r="A25" s="282"/>
      <x:c r="B25" s="178"/>
      <x:c r="C25" s="239" t="s">
        <x:v>93</x:v>
      </x:c>
      <x:c r="D25" s="178"/>
      <x:c r="E25" s="178"/>
      <x:c r="F25" s="178"/>
      <x:c r="G25" s="176"/>
      <x:c r="H25" s="178"/>
      <x:c r="I25" s="178"/>
      <x:c r="J25" s="178"/>
      <x:c r="K25" s="178"/>
      <x:c r="L25" s="178"/>
    </x:row>
    <x:row r="26" spans="1:26" ht="6.75" customHeight="1" x14ac:dyDescent="0.2">
      <x:c r="A26" s="178"/>
      <x:c r="B26" s="178"/>
      <x:c r="C26" s="178"/>
      <x:c r="D26" s="178"/>
      <x:c r="E26" s="178"/>
      <x:c r="F26" s="178"/>
      <x:c r="G26" s="176"/>
      <x:c r="H26" s="178"/>
      <x:c r="I26" s="178"/>
      <x:c r="J26" s="178"/>
      <x:c r="K26" s="178"/>
      <x:c r="L26" s="178"/>
    </x:row>
    <x:row r="27" spans="1:26" ht="15.75" customHeight="1" x14ac:dyDescent="0.2">
      <x:c r="A27" s="283" t="s">
        <x:v>94</x:v>
      </x:c>
      <x:c r="B27" s="178"/>
      <x:c r="C27" s="178"/>
      <x:c r="D27" s="178"/>
      <x:c r="E27" s="178"/>
      <x:c r="F27" s="178"/>
      <x:c r="G27" s="176"/>
      <x:c r="H27" s="178"/>
      <x:c r="I27" s="178"/>
      <x:c r="J27" s="178"/>
      <x:c r="K27" s="178"/>
      <x:c r="L27" s="178"/>
    </x:row>
    <x:row r="28" spans="1:26" ht="5.25" customHeight="1" x14ac:dyDescent="0.2">
      <x:c r="A28" s="253"/>
      <x:c r="B28" s="253"/>
      <x:c r="C28" s="253"/>
      <x:c r="D28" s="253"/>
      <x:c r="E28" s="253"/>
      <x:c r="F28" s="253"/>
      <x:c r="G28" s="253"/>
      <x:c r="H28" s="176"/>
      <x:c r="I28" s="178"/>
      <x:c r="J28" s="178"/>
      <x:c r="K28" s="178"/>
      <x:c r="L28" s="178"/>
    </x:row>
    <x:row r="29" spans="1:26" ht="47.45" customHeight="1" x14ac:dyDescent="0.2">
      <x:c r="A29" s="284" t="s">
        <x:v>61</x:v>
      </x:c>
      <x:c r="B29" s="285" t="s">
        <x:v>95</x:v>
      </x:c>
      <x:c r="C29" s="285" t="s">
        <x:v>96</x:v>
      </x:c>
      <x:c r="D29" s="285" t="s">
        <x:v>97</x:v>
      </x:c>
      <x:c r="E29" s="285"/>
      <x:c r="F29" s="285" t="s">
        <x:v>98</x:v>
      </x:c>
      <x:c r="G29" s="285" t="s">
        <x:v>99</x:v>
      </x:c>
      <x:c r="H29" s="285" t="s">
        <x:v>100</x:v>
      </x:c>
      <x:c r="I29" s="285" t="s">
        <x:v>101</x:v>
      </x:c>
      <x:c r="J29" s="178"/>
      <x:c r="K29" s="178"/>
      <x:c r="L29" s="178"/>
    </x:row>
    <x:row r="30" spans="1:26" ht="15.75" customHeight="1" x14ac:dyDescent="0.2">
      <x:c r="A30" s="286" t="s">
        <x:v>65</x:v>
      </x:c>
      <x:c r="B30" s="287" t="s">
        <x:v>19</x:v>
      </x:c>
      <x:c r="C30" s="288" t="s">
        <x:v>19</x:v>
      </x:c>
      <x:c r="D30" s="288" t="s">
        <x:v>19</x:v>
      </x:c>
      <x:c r="E30" s="289">
        <x:v>1</x:v>
      </x:c>
      <x:c r="F30" s="289">
        <x:f>E30-D30-C30</x:f>
      </x:c>
      <x:c r="G30" s="290">
        <x:f>B30*D30</x:f>
      </x:c>
      <x:c r="H30" s="290">
        <x:f>B30*C30</x:f>
      </x:c>
      <x:c r="I30" s="291">
        <x:f>B30*F30</x:f>
      </x:c>
      <x:c r="J30" s="178"/>
      <x:c r="K30" s="178"/>
      <x:c r="L30" s="178"/>
    </x:row>
    <x:row r="31" spans="1:26" ht="15.75" customHeight="1" x14ac:dyDescent="0.25">
      <x:c r="A31" s="286"/>
      <x:c r="B31" s="291"/>
      <x:c r="C31" s="289"/>
      <x:c r="D31" s="289"/>
      <x:c r="E31" s="289"/>
      <x:c r="F31" s="289"/>
      <x:c r="G31" s="291"/>
      <x:c r="H31" s="291"/>
      <x:c r="I31" s="291">
        <x:f>B31*F31</x:f>
      </x:c>
      <x:c r="J31" s="178"/>
      <x:c r="K31" s="178"/>
      <x:c r="L31" s="178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pans="1:26" ht="15.75" customHeight="1" x14ac:dyDescent="0.2">
      <x:c r="A32" s="292" t="s">
        <x:v>32</x:v>
      </x:c>
      <x:c r="B32" s="293">
        <x:f>SUM(B30:B31)</x:f>
      </x:c>
      <x:c r="C32" s="294"/>
      <x:c r="D32" s="178"/>
      <x:c r="E32" s="178"/>
      <x:c r="F32" s="178"/>
      <x:c r="G32" s="295">
        <x:f>SUM(G30:G31)</x:f>
      </x:c>
      <x:c r="H32" s="296">
        <x:f>SUM(H30:H31)</x:f>
      </x:c>
      <x:c r="I32" s="297">
        <x:f>SUM(I30:I31)</x:f>
      </x:c>
      <x:c r="J32" s="178"/>
      <x:c r="K32" s="178"/>
      <x:c r="L32" s="178"/>
    </x:row>
    <x:row r="33" spans="1:26" ht="15.75" customHeight="1" x14ac:dyDescent="0.2">
      <x:c r="A33" s="178"/>
      <x:c r="B33" s="178"/>
      <x:c r="C33" s="178"/>
      <x:c r="D33" s="178"/>
      <x:c r="E33" s="178"/>
      <x:c r="F33" s="178"/>
      <x:c r="G33" s="178"/>
      <x:c r="H33" s="298"/>
      <x:c r="I33" s="178"/>
      <x:c r="J33" s="178"/>
      <x:c r="K33" s="178"/>
      <x:c r="L33" s="178"/>
    </x:row>
    <x:row r="34" spans="1:26" ht="15.75" customHeight="1" x14ac:dyDescent="0.2">
      <x:c r="H34" s="54"/>
    </x:row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2026-03-16T08:08:57.0000000Z</dcterms:modified>
</coreProperties>
</file>