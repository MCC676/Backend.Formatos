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50BEE8B-46A8-4A08-A130-443B33220FED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<x:sst xmlns:x="http://schemas.openxmlformats.org/spreadsheetml/2006/main">
  <x:si>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</x:si>
  <x:si>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</x:si>
  <x:si>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</x:si>
  <x:si>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</x:si>
  <x:si>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</x:si>
  <x:si>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CLIENT:(administrado)</x:t>
  </x:si>
  <x:si>
    <x:t>Frutas del Perú</x:t>
  </x:si>
  <x:si>
    <x:t>INVERSIONES TUCAN DE PILCUMAYO S.A.C.</x:t>
  </x:si>
  <x:si>
    <x:t>RUC: 20131365458</x:t>
  </x:si>
  <x:si>
    <x:t>RUC: 20613948814</x:t>
  </x:si>
  <x:si>
    <x:t>Av. Frutal 789 - Ica 555</x:t>
  </x:si>
  <x:si>
    <x:t>JR. SANDIA NRO. 1001 URB. SANTA MARIA</x:t>
  </x:si>
  <x:si>
    <x:t>Arequipa - Arequipa - Cercado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</x:si>
  <x:si>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</x:si>
  <x:si>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</x:si>
  <x:si>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</x:si>
  <x:si>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</x:si>
  <x:si>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</x:si>
  <x:si>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</x:si>
  <x:si>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23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</x:si>
  <x:si>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</x:si>
  <x:si>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</x:si>
  <x:si>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</x:si>
  <x:si>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</x:si>
  <x:si>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</x:si>
  <x:si>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</x:si>
  <x:si>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</x:si>
  <x:si>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</x:si>
  <x:si>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</x:si>
  <x:si>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</x:si>
  <x:si>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</x:si>
  <x:si>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CORPORATIVO AQUINCHU &amp; FLOR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</x:si>
  <x:si>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</x:si>
  <x:si>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</x:si>
  <x:si>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</x:si>
  <x:si>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</x:si>
  <x:si>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</x:si>
  <x:si>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</x:si>
  <x:si>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</x:si>
  <x:si>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</x:si>
  <x:si>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</x:si>
  <x:si>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</x:si>
  <x:si>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</x:si>
  <x:si>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</x:si>
  <x:si>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</x:si>
  <x:si>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</x:si>
  <x:si>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</x:si>
  <x:si>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</x:si>
  <x:si>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</x:si>
  <x:si>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INTERBANK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</x:si>
  <x:si>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</x:si>
  <x:si>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</x:si>
  <x:si>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</x:si>
  <x:si>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</x:si>
  <x:si>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</x:si>
  <x:si>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</x:si>
  <x:si>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</x:si>
  <x:si>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</x:si>
  <x:si>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</x:si>
  <x:si>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</x:si>
  <x:si>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 xml:space="preserve">This is to certify that the shipment bearing Invoice Number 2323 shipped to OPUS REFINERY 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</x:si>
  <x:si>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</x:si>
  <x:si>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</x:si>
  <x:si>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</x:si>
  <x:si>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</x:si>
  <x:si>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</x:si>
  <x:si>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</x:si>
  <x:si>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</x:si>
  <x:si>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</x:si>
  <x:si>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</x:si>
  <x:si>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CORPORATIVO AQUINCHU &amp; FLOR E.I.R.L.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</x:si>
  <x:si>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</x:si>
  <x:si>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</x:si>
  <x:si>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</x:si>
  <x:si>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</x:si>
  <x:si>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CAL. 2  MZ 19 LOTE 1 URB. SANTA ADRIANA</x:t>
  </x:si>
  <x:si>
    <x:t>RECPO-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</x:si>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</x:sst>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L11" sqref="L1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102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103</x:v>
      </x:c>
      <x:c r="B9" s="193"/>
      <x:c r="C9" s="193"/>
      <x:c r="D9" s="193"/>
      <x:c r="E9" s="193"/>
      <x:c r="F9" s="190" t="s">
        <x:v>9</x:v>
      </x:c>
      <x:c r="G9" s="178" t="s">
        <x:v>8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104</x:v>
      </x:c>
      <x:c r="B10" s="193"/>
      <x:c r="C10" s="193"/>
      <x:c r="D10" s="193"/>
      <x:c r="E10" s="193"/>
      <x:c r="F10" s="190" t="s">
        <x:v>11</x:v>
      </x:c>
      <x:c r="G10" s="178" t="s">
        <x:v>10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105</x:v>
      </x:c>
      <x:c r="B11" s="193"/>
      <x:c r="C11" s="193"/>
      <x:c r="D11" s="193"/>
      <x:c r="E11" s="193"/>
      <x:c r="F11" s="187"/>
      <x:c r="G11" s="178" t="s">
        <x:v>12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106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14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13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15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16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17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18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20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21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22</x:v>
      </x:c>
      <x:c r="B24" s="75" t="s">
        <x:v>23</x:v>
      </x:c>
      <x:c r="C24" s="75" t="s">
        <x:v>24</x:v>
      </x:c>
      <x:c r="D24" s="75" t="s">
        <x:v>25</x:v>
      </x:c>
      <x:c r="E24" s="75" t="s">
        <x:v>26</x:v>
      </x:c>
      <x:c r="F24" s="75" t="s">
        <x:v>27</x:v>
      </x:c>
      <x:c r="G24" s="75" t="s">
        <x:v>28</x:v>
      </x:c>
      <x:c r="H24" s="75" t="s">
        <x:v>29</x:v>
      </x:c>
      <x:c r="I24" s="75" t="s">
        <x:v>26</x:v>
      </x:c>
      <x:c r="J24" s="76" t="s">
        <x:v>27</x:v>
      </x:c>
      <x:c r="K24" s="74" t="s">
        <x:v>30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19</x:v>
      </x:c>
      <x:c r="C25" s="199" t="s">
        <x:v>19</x:v>
      </x:c>
      <x:c r="D25" s="200">
        <x:f>B25*C25/1000</x:f>
      </x:c>
      <x:c r="E25" s="201">
        <x:f>D25*1000/31.1035</x:f>
      </x:c>
      <x:c r="F25" s="202" t="s">
        <x:v>19</x:v>
      </x:c>
      <x:c r="G25" s="199" t="s">
        <x:v>19</x:v>
      </x:c>
      <x:c r="H25" s="200">
        <x:f>B25*G25/1000</x:f>
      </x:c>
      <x:c r="I25" s="201">
        <x:f>H25*1000/31.1035</x:f>
      </x:c>
      <x:c r="J25" s="203" t="s">
        <x:v>19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32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33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34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35</x:v>
      </x:c>
      <x:c r="B32" s="216"/>
      <x:c r="C32" s="221" t="s">
        <x:v>19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36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37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38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35</x:v>
      </x:c>
      <x:c r="B37" s="216"/>
      <x:c r="C37" s="221" t="s">
        <x:v>19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39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40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41</x:v>
      </x:c>
      <x:c r="B42" s="185" t="s">
        <x:v>42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43</x:v>
      </x:c>
      <x:c r="B43" s="185" t="s">
        <x:v>44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45</x:v>
      </x:c>
      <x:c r="B44" s="185" t="s">
        <x:v>46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47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48</x:v>
      </x:c>
      <x:c r="B47" s="229" t="s">
        <x:v>31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50</x:v>
      </x:c>
      <x:c r="B48" s="229" t="s">
        <x:v>49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52</x:v>
      </x:c>
      <x:c r="B49" s="230" t="s">
        <x:v>51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54</x:v>
      </x:c>
      <x:c r="B50" s="192" t="s">
        <x:v>53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55</x:v>
      </x:c>
      <x:c r="B51" s="185" t="s">
        <x:v>56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57</x:v>
      </x:c>
      <x:c r="B5" s="232"/>
      <x:c r="C5" s="233" t="s">
        <x:v>102</x:v>
      </x:c>
      <x:c r="D5" s="234" t="s">
        <x:v>58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59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89" t="s">
        <x:v>5</x:v>
      </x:c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85" t="s">
        <x:v>6</x:v>
      </x:c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103</x:v>
      </x:c>
      <x:c r="B12" s="242"/>
      <x:c r="C12" s="242"/>
      <x:c r="D12" s="242"/>
      <x:c r="E12" s="190" t="s">
        <x:v>9</x:v>
      </x:c>
      <x:c r="F12" s="178" t="s">
        <x:v>8</x:v>
      </x:c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104</x:v>
      </x:c>
      <x:c r="B13" s="242"/>
      <x:c r="C13" s="242"/>
      <x:c r="D13" s="243"/>
      <x:c r="E13" s="190" t="s">
        <x:v>11</x:v>
      </x:c>
      <x:c r="F13" s="178" t="s">
        <x:v>10</x:v>
      </x:c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 t="s">
        <x:v>105</x:v>
      </x:c>
      <x:c r="B14" s="242"/>
      <x:c r="C14" s="242"/>
      <x:c r="D14" s="244"/>
      <x:c r="E14" s="178"/>
      <x:c r="F14" s="178" t="s">
        <x:v>12</x:v>
      </x:c>
      <x:c r="G14" s="178"/>
      <x:c r="H14" s="178"/>
      <x:c r="I14" s="179"/>
      <x:c r="J14" s="17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78"/>
      <x:c r="B15" s="178"/>
      <x:c r="C15" s="178"/>
      <x:c r="D15" s="185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87" t="s">
        <x:v>14</x:v>
      </x:c>
      <x:c r="B16" s="178"/>
      <x:c r="C16" s="178"/>
      <x:c r="D16" s="185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241" t="s">
        <x:v>13</x:v>
      </x:c>
      <x:c r="B17" s="242"/>
      <x:c r="C17" s="242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242" t="s">
        <x:v>15</x:v>
      </x:c>
      <x:c r="B18" s="242"/>
      <x:c r="C18" s="242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2" t="s">
        <x:v>16</x:v>
      </x:c>
      <x:c r="B19" s="242"/>
      <x:c r="C19" s="242"/>
      <x:c r="D19" s="185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17</x:v>
      </x:c>
      <x:c r="B20" s="242"/>
      <x:c r="C20" s="242"/>
      <x:c r="D20" s="178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18</x:v>
      </x:c>
      <x:c r="B21" s="242"/>
      <x:c r="C21" s="242"/>
      <x:c r="D21" s="178"/>
      <x:c r="E21" s="178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39"/>
      <x:c r="B22" s="178"/>
      <x:c r="C22" s="245"/>
      <x:c r="D22" s="178"/>
      <x:c r="E22" s="245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46" t="s">
        <x:v>61</x:v>
      </x:c>
      <x:c r="B23" s="246" t="s">
        <x:v>62</x:v>
      </x:c>
      <x:c r="C23" s="246" t="s">
        <x:v>23</x:v>
      </x:c>
      <x:c r="D23" s="246" t="s">
        <x:v>63</x:v>
      </x:c>
      <x:c r="E23" s="246" t="s">
        <x:v>64</x:v>
      </x:c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47" t="s">
        <x:v>65</x:v>
      </x:c>
      <x:c r="B24" s="248" t="s">
        <x:v>102</x:v>
      </x:c>
      <x:c r="C24" s="249" t="s">
        <x:v>19</x:v>
      </x:c>
      <x:c r="D24" s="250" t="s">
        <x:v>19</x:v>
      </x:c>
      <x:c r="E24" s="249">
        <x:f>+C24*D24</x:f>
      </x:c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47"/>
      <x:c r="B25" s="247"/>
      <x:c r="C25" s="251"/>
      <x:c r="D25" s="252"/>
      <x:c r="E25" s="251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46" t="s">
        <x:v>32</x:v>
      </x:c>
      <x:c r="B26" s="253"/>
      <x:c r="C26" s="254">
        <x:f>SUM(C24:C25)</x:f>
      </x:c>
      <x:c r="D26" s="253"/>
      <x:c r="E26" s="254">
        <x:f>SUM(E24:E25)</x:f>
      </x:c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55"/>
      <x:c r="B27" s="256"/>
      <x:c r="C27" s="256"/>
      <x:c r="D27" s="256"/>
      <x:c r="E27" s="256"/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55"/>
      <x:c r="B28" s="256"/>
      <x:c r="C28" s="256"/>
      <x:c r="D28" s="256"/>
      <x:c r="E28" s="256"/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67"/>
      <x:c r="B29" s="68"/>
      <x:c r="C29" s="68"/>
      <x:c r="D29" s="68"/>
      <x:c r="E29" s="6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67"/>
      <x:c r="B30" s="68"/>
      <x:c r="C30" s="68"/>
      <x:c r="D30" s="68"/>
      <x:c r="E30" s="6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67"/>
      <x:c r="B31" s="68"/>
      <x:c r="C31" s="68"/>
      <x:c r="D31" s="68"/>
      <x:c r="E31" s="6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67"/>
      <x:c r="B32" s="68"/>
      <x:c r="C32" s="68"/>
      <x:c r="D32" s="68"/>
      <x:c r="E32" s="6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9"/>
      <x:c r="C40" s="69"/>
      <x:c r="D40" s="69"/>
      <x:c r="E40" s="6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68"/>
      <x:c r="C41" s="68"/>
      <x:c r="D41" s="70"/>
      <x:c r="E41" s="71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K14" sqref="K14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66</x:v>
      </x:c>
      <x:c r="B7" s="258" t="s">
        <x:v>59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68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69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60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71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72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73</x:v>
      </x:c>
      <x:c r="B21" s="232"/>
      <x:c r="C21" s="267" t="s">
        <x:v>102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74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70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75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76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77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66</x:v>
      </x:c>
      <x:c r="B7" s="271" t="s">
        <x:v>59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74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70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75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76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78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79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80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81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82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83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84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85</x:v>
      </x:c>
      <x:c r="B24" s="185"/>
      <x:c r="C24" s="185"/>
      <x:c r="D24" s="185"/>
      <x:c r="E24" s="274" t="s">
        <x:v>44</x:v>
      </x:c>
      <x:c r="F24" s="178"/>
      <x:c r="G24" s="178"/>
      <x:c r="H24" s="178"/>
      <x:c r="I24" s="178"/>
    </x:row>
    <x:row r="25" spans="1:9" ht="15.75" customHeight="1" x14ac:dyDescent="0.2">
      <x:c r="A25" s="185" t="s">
        <x:v>86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87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88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88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M19" sqref="M19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67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89" t="s">
        <x:v>5</x:v>
      </x:c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85" t="s">
        <x:v>6</x:v>
      </x:c>
      <x:c r="I7" s="190"/>
      <x:c r="J7" s="190"/>
      <x:c r="K7" s="190"/>
      <x:c r="L7" s="178"/>
    </x:row>
    <x:row r="8" spans="1:26" ht="14.25" customHeight="1" x14ac:dyDescent="0.2">
      <x:c r="A8" s="242" t="s">
        <x:v>103</x:v>
      </x:c>
      <x:c r="B8" s="242"/>
      <x:c r="C8" s="242"/>
      <x:c r="D8" s="242"/>
      <x:c r="E8" s="178"/>
      <x:c r="F8" s="178"/>
      <x:c r="G8" s="194" t="s">
        <x:v>7</x:v>
      </x:c>
      <x:c r="H8" s="178" t="s">
        <x:v>8</x:v>
      </x:c>
      <x:c r="I8" s="190"/>
      <x:c r="J8" s="190"/>
      <x:c r="K8" s="190"/>
      <x:c r="L8" s="178"/>
    </x:row>
    <x:row r="9" spans="1:26" ht="14.25" customHeight="1" x14ac:dyDescent="0.2">
      <x:c r="A9" s="242" t="s">
        <x:v>104</x:v>
      </x:c>
      <x:c r="B9" s="242"/>
      <x:c r="C9" s="242"/>
      <x:c r="D9" s="243"/>
      <x:c r="E9" s="178"/>
      <x:c r="F9" s="178"/>
      <x:c r="G9" s="190" t="s">
        <x:v>9</x:v>
      </x:c>
      <x:c r="H9" s="178" t="s">
        <x:v>10</x:v>
      </x:c>
      <x:c r="I9" s="190"/>
      <x:c r="J9" s="190"/>
      <x:c r="K9" s="190"/>
      <x:c r="L9" s="178"/>
    </x:row>
    <x:row r="10" spans="1:26" ht="14.25" customHeight="1" x14ac:dyDescent="0.2">
      <x:c r="A10" s="242" t="s">
        <x:v>105</x:v>
      </x:c>
      <x:c r="B10" s="242"/>
      <x:c r="C10" s="242"/>
      <x:c r="D10" s="244"/>
      <x:c r="E10" s="178"/>
      <x:c r="F10" s="178"/>
      <x:c r="G10" s="190"/>
      <x:c r="H10" s="178" t="s">
        <x:v>12</x:v>
      </x:c>
      <x:c r="I10" s="190"/>
      <x:c r="J10" s="190"/>
      <x:c r="K10" s="190"/>
      <x:c r="L10" s="178"/>
    </x:row>
    <x:row r="11" spans="1:26" ht="14.25" customHeight="1" x14ac:dyDescent="0.2">
      <x:c r="A11" s="178"/>
      <x:c r="B11" s="178"/>
      <x:c r="C11" s="178"/>
      <x:c r="D11" s="185"/>
      <x:c r="E11" s="178"/>
      <x:c r="F11" s="178"/>
      <x:c r="G11" s="190"/>
      <x:c r="H11" s="190"/>
      <x:c r="I11" s="190"/>
      <x:c r="J11" s="190"/>
      <x:c r="K11" s="190"/>
      <x:c r="L11" s="178"/>
    </x:row>
    <x:row r="12" spans="1:26" ht="14.25" customHeight="1" x14ac:dyDescent="0.2">
      <x:c r="A12" s="178"/>
      <x:c r="B12" s="178"/>
      <x:c r="C12" s="178"/>
      <x:c r="D12" s="185"/>
      <x:c r="E12" s="178"/>
      <x:c r="F12" s="178"/>
      <x:c r="G12" s="178"/>
      <x:c r="H12" s="178"/>
      <x:c r="I12" s="178"/>
      <x:c r="J12" s="178"/>
      <x:c r="K12" s="178"/>
      <x:c r="L12" s="178"/>
    </x:row>
    <x:row r="13" spans="1:26" ht="14.25" customHeight="1" x14ac:dyDescent="0.2">
      <x:c r="A13" s="187" t="s">
        <x:v>14</x:v>
      </x:c>
      <x:c r="B13" s="178"/>
      <x:c r="C13" s="178"/>
      <x:c r="D13" s="185"/>
      <x:c r="E13" s="178"/>
      <x:c r="F13" s="178"/>
      <x:c r="G13" s="178"/>
      <x:c r="H13" s="178"/>
      <x:c r="I13" s="178"/>
      <x:c r="J13" s="178"/>
      <x:c r="K13" s="178"/>
      <x:c r="L13" s="178"/>
    </x:row>
    <x:row r="14" spans="1:26" ht="14.25" customHeight="1" x14ac:dyDescent="0.2">
      <x:c r="A14" s="241" t="s">
        <x:v>13</x:v>
      </x:c>
      <x:c r="B14" s="242"/>
      <x:c r="C14" s="242"/>
      <x:c r="D14" s="241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242" t="s">
        <x:v>15</x:v>
      </x:c>
      <x:c r="B15" s="242"/>
      <x:c r="C15" s="242"/>
      <x:c r="D15" s="241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2" t="s">
        <x:v>16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17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18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185"/>
      <x:c r="B19" s="178"/>
      <x:c r="C19" s="178"/>
      <x:c r="D19" s="185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14" t="s">
        <x:v>89</x:v>
      </x:c>
      <x:c r="B20" s="178"/>
      <x:c r="C20" s="178"/>
      <x:c r="D20" s="276" t="s">
        <x:v>42</x:v>
      </x:c>
      <x:c r="E20" s="276"/>
      <x:c r="F20" s="276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14" t="s">
        <x:v>90</x:v>
      </x:c>
      <x:c r="B21" s="223"/>
      <x:c r="C21" s="223"/>
      <x:c r="D21" s="277">
        <x:f>'INVOICE '!B28</x:f>
      </x:c>
      <x:c r="E21" s="278"/>
      <x:c r="F21" s="2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185" t="s">
        <x:v>91</x:v>
      </x:c>
      <x:c r="B22" s="178"/>
      <x:c r="C22" s="178"/>
      <x:c r="D22" s="279" t="s">
        <x:v>44</x:v>
      </x:c>
      <x:c r="E22" s="280"/>
      <x:c r="F22" s="280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 t="s">
        <x:v>92</x:v>
      </x:c>
      <x:c r="B23" s="178"/>
      <x:c r="C23" s="178"/>
      <x:c r="D23" s="281" t="s">
        <x:v>102</x:v>
      </x:c>
      <x:c r="E23" s="276"/>
      <x:c r="F23" s="276"/>
      <x:c r="G23" s="178"/>
      <x:c r="H23" s="178"/>
      <x:c r="I23" s="178"/>
      <x:c r="J23" s="178"/>
      <x:c r="K23" s="178"/>
      <x:c r="L23" s="178"/>
    </x:row>
    <x:row r="24" spans="1:26" ht="15.75" customHeight="1" x14ac:dyDescent="0.2">
      <x:c r="A24" s="261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</x:row>
    <x:row r="25" spans="1:26" ht="15.75" customHeight="1" x14ac:dyDescent="0.2">
      <x:c r="A25" s="282"/>
      <x:c r="B25" s="178"/>
      <x:c r="C25" s="239" t="s">
        <x:v>93</x:v>
      </x:c>
      <x:c r="D25" s="178"/>
      <x:c r="E25" s="178"/>
      <x:c r="F25" s="178"/>
      <x:c r="G25" s="176"/>
      <x:c r="H25" s="178"/>
      <x:c r="I25" s="178"/>
      <x:c r="J25" s="178"/>
      <x:c r="K25" s="178"/>
      <x:c r="L25" s="178"/>
    </x:row>
    <x:row r="26" spans="1:26" ht="6.75" customHeight="1" x14ac:dyDescent="0.2">
      <x:c r="A26" s="178"/>
      <x:c r="B26" s="178"/>
      <x:c r="C26" s="178"/>
      <x:c r="D26" s="178"/>
      <x:c r="E26" s="178"/>
      <x:c r="F26" s="178"/>
      <x:c r="G26" s="176"/>
      <x:c r="H26" s="178"/>
      <x:c r="I26" s="178"/>
      <x:c r="J26" s="178"/>
      <x:c r="K26" s="178"/>
      <x:c r="L26" s="178"/>
    </x:row>
    <x:row r="27" spans="1:26" ht="15.75" customHeight="1" x14ac:dyDescent="0.2">
      <x:c r="A27" s="283" t="s">
        <x:v>94</x:v>
      </x:c>
      <x:c r="B27" s="178"/>
      <x:c r="C27" s="178"/>
      <x:c r="D27" s="178"/>
      <x:c r="E27" s="178"/>
      <x:c r="F27" s="178"/>
      <x:c r="G27" s="176"/>
      <x:c r="H27" s="178"/>
      <x:c r="I27" s="178"/>
      <x:c r="J27" s="178"/>
      <x:c r="K27" s="178"/>
      <x:c r="L27" s="178"/>
    </x:row>
    <x:row r="28" spans="1:26" ht="5.25" customHeight="1" x14ac:dyDescent="0.2">
      <x:c r="A28" s="253"/>
      <x:c r="B28" s="253"/>
      <x:c r="C28" s="253"/>
      <x:c r="D28" s="253"/>
      <x:c r="E28" s="253"/>
      <x:c r="F28" s="253"/>
      <x:c r="G28" s="253"/>
      <x:c r="H28" s="176"/>
      <x:c r="I28" s="178"/>
      <x:c r="J28" s="178"/>
      <x:c r="K28" s="178"/>
      <x:c r="L28" s="178"/>
    </x:row>
    <x:row r="29" spans="1:26" ht="47.45" customHeight="1" x14ac:dyDescent="0.2">
      <x:c r="A29" s="284" t="s">
        <x:v>61</x:v>
      </x:c>
      <x:c r="B29" s="285" t="s">
        <x:v>95</x:v>
      </x:c>
      <x:c r="C29" s="285" t="s">
        <x:v>96</x:v>
      </x:c>
      <x:c r="D29" s="285" t="s">
        <x:v>97</x:v>
      </x:c>
      <x:c r="E29" s="285"/>
      <x:c r="F29" s="285" t="s">
        <x:v>98</x:v>
      </x:c>
      <x:c r="G29" s="285" t="s">
        <x:v>99</x:v>
      </x:c>
      <x:c r="H29" s="285" t="s">
        <x:v>100</x:v>
      </x:c>
      <x:c r="I29" s="285" t="s">
        <x:v>101</x:v>
      </x:c>
      <x:c r="J29" s="178"/>
      <x:c r="K29" s="178"/>
      <x:c r="L29" s="178"/>
    </x:row>
    <x:row r="30" spans="1:26" ht="15.75" customHeight="1" x14ac:dyDescent="0.2">
      <x:c r="A30" s="286" t="s">
        <x:v>65</x:v>
      </x:c>
      <x:c r="B30" s="287" t="s">
        <x:v>19</x:v>
      </x:c>
      <x:c r="C30" s="288" t="s">
        <x:v>19</x:v>
      </x:c>
      <x:c r="D30" s="288" t="s">
        <x:v>19</x:v>
      </x:c>
      <x:c r="E30" s="289">
        <x:v>1</x:v>
      </x:c>
      <x:c r="F30" s="289">
        <x:f>E30-D30-C30</x:f>
      </x:c>
      <x:c r="G30" s="290">
        <x:f>B30*D30</x:f>
      </x:c>
      <x:c r="H30" s="290">
        <x:f>B30*C30</x:f>
      </x:c>
      <x:c r="I30" s="291">
        <x:f>B30*F30</x:f>
      </x:c>
      <x:c r="J30" s="178"/>
      <x:c r="K30" s="178"/>
      <x:c r="L30" s="178"/>
    </x:row>
    <x:row r="31" spans="1:26" ht="15.75" customHeight="1" x14ac:dyDescent="0.25">
      <x:c r="A31" s="286"/>
      <x:c r="B31" s="291"/>
      <x:c r="C31" s="289"/>
      <x:c r="D31" s="289"/>
      <x:c r="E31" s="289"/>
      <x:c r="F31" s="289"/>
      <x:c r="G31" s="291"/>
      <x:c r="H31" s="291"/>
      <x:c r="I31" s="291">
        <x:f>B31*F31</x:f>
      </x:c>
      <x:c r="J31" s="178"/>
      <x:c r="K31" s="178"/>
      <x:c r="L31" s="17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92" t="s">
        <x:v>32</x:v>
      </x:c>
      <x:c r="B32" s="293">
        <x:f>SUM(B30:B31)</x:f>
      </x:c>
      <x:c r="C32" s="294"/>
      <x:c r="D32" s="178"/>
      <x:c r="E32" s="178"/>
      <x:c r="F32" s="178"/>
      <x:c r="G32" s="295">
        <x:f>SUM(G30:G31)</x:f>
      </x:c>
      <x:c r="H32" s="296">
        <x:f>SUM(H30:H31)</x:f>
      </x:c>
      <x:c r="I32" s="297">
        <x:f>SUM(I30:I31)</x:f>
      </x:c>
      <x:c r="J32" s="178"/>
      <x:c r="K32" s="178"/>
      <x:c r="L32" s="178"/>
    </x:row>
    <x:row r="33" spans="1:26" ht="15.75" customHeight="1" x14ac:dyDescent="0.2">
      <x:c r="A33" s="178"/>
      <x:c r="B33" s="178"/>
      <x:c r="C33" s="178"/>
      <x:c r="D33" s="178"/>
      <x:c r="E33" s="178"/>
      <x:c r="F33" s="178"/>
      <x:c r="G33" s="178"/>
      <x:c r="H33" s="298"/>
      <x:c r="I33" s="178"/>
      <x:c r="J33" s="178"/>
      <x:c r="K33" s="178"/>
      <x:c r="L33" s="178"/>
    </x:row>
    <x:row r="34" spans="1:26" ht="15.75" customHeight="1" x14ac:dyDescent="0.2">
      <x:c r="H34" s="54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2026-03-16T08:08:57.0000000Z</dcterms:modified>
</coreProperties>
</file>